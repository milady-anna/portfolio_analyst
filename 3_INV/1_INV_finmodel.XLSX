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nna\Desktop\My_files\Аналитика\Skillbox\5_Финансовый_анализ_2_0\"/>
    </mc:Choice>
  </mc:AlternateContent>
  <xr:revisionPtr revIDLastSave="0" documentId="13_ncr:2001_{58C8481C-816F-4A81-BBEB-C6C55FA3BC06}" xr6:coauthVersionLast="47" xr6:coauthVersionMax="47" xr10:uidLastSave="{00000000-0000-0000-0000-000000000000}"/>
  <bookViews>
    <workbookView xWindow="-110" yWindow="490" windowWidth="25820" windowHeight="15620" activeTab="3" xr2:uid="{00000000-000D-0000-FFFF-FFFF00000000}"/>
  </bookViews>
  <sheets>
    <sheet name="Допущения" sheetId="1" r:id="rId1"/>
    <sheet name="Расчет" sheetId="2" r:id="rId2"/>
    <sheet name="Итоги" sheetId="3" r:id="rId3"/>
    <sheet name="Оценка" sheetId="4" r:id="rId4"/>
    <sheet name="Анализ чувствительности" sheetId="5" r:id="rId5"/>
  </sheets>
  <externalReferences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4" l="1"/>
  <c r="F33" i="4"/>
  <c r="E12" i="4"/>
  <c r="F19" i="4"/>
  <c r="I9" i="5"/>
  <c r="J9" i="5" s="1"/>
  <c r="K9" i="5" s="1"/>
  <c r="L9" i="5" s="1"/>
  <c r="M9" i="5" s="1"/>
  <c r="C25" i="4"/>
  <c r="G4" i="5"/>
  <c r="B17" i="5"/>
  <c r="B18" i="5"/>
  <c r="B19" i="5"/>
  <c r="B20" i="5"/>
  <c r="B16" i="5"/>
  <c r="B13" i="5"/>
  <c r="B12" i="5" s="1"/>
  <c r="B11" i="5" s="1"/>
  <c r="B10" i="5" s="1"/>
  <c r="B14" i="5"/>
  <c r="E7" i="4"/>
  <c r="D6" i="4"/>
  <c r="F6" i="4" s="1"/>
  <c r="E5" i="4"/>
  <c r="G7" i="4"/>
  <c r="L5" i="2"/>
  <c r="G5" i="2"/>
  <c r="H5" i="2" s="1"/>
  <c r="I5" i="2" s="1"/>
  <c r="J5" i="2" s="1"/>
  <c r="F5" i="2"/>
  <c r="D24" i="4"/>
  <c r="E24" i="4"/>
  <c r="F24" i="4"/>
  <c r="G24" i="4"/>
  <c r="H24" i="4"/>
  <c r="C24" i="4"/>
  <c r="G9" i="5" l="1"/>
  <c r="F9" i="5" s="1"/>
  <c r="E9" i="5" s="1"/>
  <c r="D9" i="5" s="1"/>
  <c r="C9" i="5" s="1"/>
  <c r="H43" i="4" l="1"/>
  <c r="H44" i="4"/>
  <c r="H42" i="4"/>
  <c r="H41" i="4" s="1"/>
  <c r="F42" i="4"/>
  <c r="G42" i="4"/>
  <c r="F43" i="4"/>
  <c r="G43" i="4"/>
  <c r="F44" i="4"/>
  <c r="G44" i="4"/>
  <c r="G41" i="4"/>
  <c r="F41" i="4"/>
  <c r="E42" i="4"/>
  <c r="E43" i="4"/>
  <c r="E44" i="4"/>
  <c r="E41" i="4"/>
  <c r="I44" i="4"/>
  <c r="I42" i="4"/>
  <c r="I43" i="4"/>
  <c r="H33" i="4"/>
  <c r="E33" i="4"/>
  <c r="C22" i="4"/>
  <c r="E15" i="4"/>
  <c r="C36" i="3"/>
  <c r="E17" i="4"/>
  <c r="C18" i="4" l="1"/>
  <c r="E6" i="4"/>
  <c r="C6" i="4" s="1"/>
  <c r="E4" i="4"/>
  <c r="I41" i="4"/>
  <c r="J41" i="4"/>
  <c r="C5" i="4" s="1"/>
  <c r="D5" i="4" s="1"/>
  <c r="F5" i="4" s="1"/>
  <c r="C17" i="4"/>
  <c r="E13" i="4" s="1"/>
  <c r="L146" i="2" l="1"/>
  <c r="L145" i="2"/>
  <c r="L144" i="2"/>
  <c r="L69" i="2"/>
  <c r="L67" i="2"/>
  <c r="L65" i="2"/>
  <c r="L64" i="2"/>
  <c r="L63" i="2"/>
  <c r="F146" i="2"/>
  <c r="F175" i="2" s="1"/>
  <c r="G145" i="2"/>
  <c r="H145" i="2"/>
  <c r="I145" i="2"/>
  <c r="J145" i="2"/>
  <c r="G146" i="2"/>
  <c r="H146" i="2"/>
  <c r="I146" i="2"/>
  <c r="J146" i="2"/>
  <c r="G144" i="2"/>
  <c r="G167" i="2" s="1"/>
  <c r="H167" i="2" s="1"/>
  <c r="I167" i="2" s="1"/>
  <c r="J167" i="2" s="1"/>
  <c r="L167" i="2" s="1"/>
  <c r="H144" i="2"/>
  <c r="I144" i="2"/>
  <c r="J144" i="2"/>
  <c r="E102" i="2"/>
  <c r="F161" i="2"/>
  <c r="G161" i="2" s="1"/>
  <c r="H161" i="2" s="1"/>
  <c r="I161" i="2" s="1"/>
  <c r="J161" i="2" s="1"/>
  <c r="L161" i="2" s="1"/>
  <c r="F145" i="2"/>
  <c r="F168" i="2"/>
  <c r="G168" i="2" s="1"/>
  <c r="H168" i="2" s="1"/>
  <c r="I168" i="2" s="1"/>
  <c r="J168" i="2" s="1"/>
  <c r="L168" i="2" s="1"/>
  <c r="F86" i="2"/>
  <c r="F85" i="2" s="1"/>
  <c r="F12" i="2"/>
  <c r="F22" i="2" s="1"/>
  <c r="D54" i="3" s="1"/>
  <c r="E22" i="2"/>
  <c r="C54" i="3" s="1"/>
  <c r="C31" i="1"/>
  <c r="C32" i="1"/>
  <c r="E32" i="1" s="1"/>
  <c r="E33" i="1" s="1"/>
  <c r="F111" i="2"/>
  <c r="G111" i="2" s="1"/>
  <c r="H111" i="2" s="1"/>
  <c r="I111" i="2" s="1"/>
  <c r="J111" i="2" s="1"/>
  <c r="J138" i="2" s="1"/>
  <c r="F109" i="2"/>
  <c r="E133" i="2"/>
  <c r="E131" i="2"/>
  <c r="E147" i="2"/>
  <c r="C8" i="3"/>
  <c r="E159" i="2"/>
  <c r="C22" i="3" s="1"/>
  <c r="E172" i="2"/>
  <c r="E173" i="2"/>
  <c r="F6" i="2"/>
  <c r="G6" i="2" s="1"/>
  <c r="E112" i="2"/>
  <c r="E139" i="2"/>
  <c r="C15" i="3" s="1"/>
  <c r="G69" i="2"/>
  <c r="H69" i="2"/>
  <c r="I69" i="2"/>
  <c r="J69" i="2"/>
  <c r="F69" i="2"/>
  <c r="F64" i="2"/>
  <c r="G64" i="2"/>
  <c r="H64" i="2"/>
  <c r="I64" i="2"/>
  <c r="J64" i="2"/>
  <c r="F65" i="2"/>
  <c r="G65" i="2"/>
  <c r="H65" i="2"/>
  <c r="I65" i="2"/>
  <c r="J65" i="2"/>
  <c r="F67" i="2"/>
  <c r="G67" i="2"/>
  <c r="H67" i="2"/>
  <c r="I67" i="2"/>
  <c r="J67" i="2"/>
  <c r="G63" i="2"/>
  <c r="H63" i="2"/>
  <c r="I63" i="2"/>
  <c r="J63" i="2"/>
  <c r="F63" i="2"/>
  <c r="E94" i="2"/>
  <c r="C52" i="3" s="1"/>
  <c r="E93" i="2"/>
  <c r="C53" i="3" s="1"/>
  <c r="F29" i="2"/>
  <c r="F37" i="2" s="1"/>
  <c r="F45" i="2" s="1"/>
  <c r="C46" i="3"/>
  <c r="C25" i="3"/>
  <c r="C24" i="3"/>
  <c r="F80" i="2"/>
  <c r="E170" i="2"/>
  <c r="C28" i="3" s="1"/>
  <c r="C23" i="3"/>
  <c r="F144" i="2"/>
  <c r="F167" i="2" s="1"/>
  <c r="E126" i="2"/>
  <c r="E97" i="2"/>
  <c r="J3" i="2"/>
  <c r="I3" i="2"/>
  <c r="H3" i="2"/>
  <c r="G3" i="2"/>
  <c r="F3" i="2"/>
  <c r="E3" i="2"/>
  <c r="H6" i="2" l="1"/>
  <c r="G99" i="2"/>
  <c r="G100" i="2"/>
  <c r="G101" i="2"/>
  <c r="L111" i="2"/>
  <c r="L138" i="2" s="1"/>
  <c r="G175" i="2"/>
  <c r="H175" i="2" s="1"/>
  <c r="L32" i="1"/>
  <c r="L33" i="1" s="1"/>
  <c r="F158" i="2"/>
  <c r="I138" i="2"/>
  <c r="G138" i="2"/>
  <c r="F19" i="2"/>
  <c r="F20" i="2" s="1"/>
  <c r="F160" i="2" s="1"/>
  <c r="F138" i="2"/>
  <c r="H138" i="2"/>
  <c r="I175" i="2"/>
  <c r="J175" i="2" s="1"/>
  <c r="L175" i="2" s="1"/>
  <c r="E14" i="2"/>
  <c r="E15" i="2" s="1"/>
  <c r="F16" i="2" s="1"/>
  <c r="G86" i="2"/>
  <c r="G85" i="2" s="1"/>
  <c r="H86" i="2" s="1"/>
  <c r="H85" i="2" s="1"/>
  <c r="F87" i="2"/>
  <c r="F99" i="2"/>
  <c r="E104" i="2"/>
  <c r="C50" i="3" s="1"/>
  <c r="G12" i="2"/>
  <c r="H12" i="2" s="1"/>
  <c r="I12" i="2" s="1"/>
  <c r="J12" i="2" s="1"/>
  <c r="L12" i="2" s="1"/>
  <c r="L14" i="2" s="1"/>
  <c r="F91" i="2"/>
  <c r="F32" i="1"/>
  <c r="F33" i="1" s="1"/>
  <c r="J32" i="1"/>
  <c r="J33" i="1" s="1"/>
  <c r="G32" i="1"/>
  <c r="G33" i="1" s="1"/>
  <c r="I32" i="1"/>
  <c r="I33" i="1" s="1"/>
  <c r="H32" i="1"/>
  <c r="H33" i="1" s="1"/>
  <c r="F14" i="2"/>
  <c r="C29" i="3"/>
  <c r="F101" i="2"/>
  <c r="F118" i="2"/>
  <c r="F100" i="2"/>
  <c r="C16" i="3"/>
  <c r="F32" i="2"/>
  <c r="F33" i="2"/>
  <c r="F53" i="2"/>
  <c r="F31" i="2"/>
  <c r="F30" i="2"/>
  <c r="F28" i="2"/>
  <c r="C26" i="3"/>
  <c r="C37" i="3" s="1"/>
  <c r="G19" i="2"/>
  <c r="G20" i="2" s="1"/>
  <c r="C47" i="3"/>
  <c r="E165" i="2"/>
  <c r="I43" i="1"/>
  <c r="L68" i="2" s="1"/>
  <c r="I41" i="1"/>
  <c r="L66" i="2" s="1"/>
  <c r="L62" i="2" s="1"/>
  <c r="Q7" i="1"/>
  <c r="H101" i="2" l="1"/>
  <c r="H100" i="2"/>
  <c r="H99" i="2"/>
  <c r="I6" i="2"/>
  <c r="D8" i="3"/>
  <c r="F93" i="2"/>
  <c r="D53" i="3" s="1"/>
  <c r="L15" i="2"/>
  <c r="L22" i="2"/>
  <c r="J54" i="3" s="1"/>
  <c r="L91" i="2"/>
  <c r="G160" i="2"/>
  <c r="G158" i="2"/>
  <c r="H158" i="2" s="1"/>
  <c r="F110" i="2"/>
  <c r="F143" i="2"/>
  <c r="F173" i="2" s="1"/>
  <c r="H87" i="2"/>
  <c r="H143" i="2" s="1"/>
  <c r="G87" i="2"/>
  <c r="G143" i="2" s="1"/>
  <c r="C39" i="3"/>
  <c r="E114" i="2"/>
  <c r="E105" i="2"/>
  <c r="C9" i="3"/>
  <c r="C38" i="3" s="1"/>
  <c r="I86" i="2"/>
  <c r="I85" i="2" s="1"/>
  <c r="F162" i="2"/>
  <c r="G22" i="2"/>
  <c r="E54" i="3" s="1"/>
  <c r="F95" i="2"/>
  <c r="D51" i="3" s="1"/>
  <c r="F94" i="2"/>
  <c r="D52" i="3" s="1"/>
  <c r="G14" i="2"/>
  <c r="G15" i="2" s="1"/>
  <c r="F15" i="2"/>
  <c r="F17" i="2" s="1"/>
  <c r="F18" i="2" s="1"/>
  <c r="H22" i="2"/>
  <c r="F54" i="3" s="1"/>
  <c r="Q8" i="1"/>
  <c r="E95" i="2"/>
  <c r="C51" i="3" s="1"/>
  <c r="C55" i="3" s="1"/>
  <c r="F66" i="2"/>
  <c r="J66" i="2"/>
  <c r="G66" i="2"/>
  <c r="H66" i="2"/>
  <c r="I66" i="2"/>
  <c r="G68" i="2"/>
  <c r="F68" i="2"/>
  <c r="H68" i="2"/>
  <c r="J68" i="2"/>
  <c r="I68" i="2"/>
  <c r="G118" i="2"/>
  <c r="G33" i="2"/>
  <c r="G41" i="2" s="1"/>
  <c r="G49" i="2" s="1"/>
  <c r="F137" i="2"/>
  <c r="F27" i="2"/>
  <c r="F41" i="2"/>
  <c r="F49" i="2" s="1"/>
  <c r="F57" i="2" s="1"/>
  <c r="F36" i="2"/>
  <c r="F38" i="2"/>
  <c r="F46" i="2" s="1"/>
  <c r="F54" i="2" s="1"/>
  <c r="F39" i="2"/>
  <c r="F40" i="2"/>
  <c r="F48" i="2" s="1"/>
  <c r="F56" i="2" s="1"/>
  <c r="G28" i="2"/>
  <c r="G29" i="2"/>
  <c r="G32" i="2"/>
  <c r="G40" i="2" s="1"/>
  <c r="G48" i="2" s="1"/>
  <c r="G30" i="2"/>
  <c r="G38" i="2" s="1"/>
  <c r="G46" i="2" s="1"/>
  <c r="G31" i="2"/>
  <c r="G39" i="2" s="1"/>
  <c r="G47" i="2" s="1"/>
  <c r="H19" i="2"/>
  <c r="H20" i="2" s="1"/>
  <c r="F102" i="2"/>
  <c r="G91" i="2"/>
  <c r="E8" i="3" s="1"/>
  <c r="E125" i="2"/>
  <c r="E116" i="2"/>
  <c r="E119" i="2" s="1"/>
  <c r="E120" i="2" s="1"/>
  <c r="I101" i="2" l="1"/>
  <c r="I99" i="2"/>
  <c r="I100" i="2"/>
  <c r="J6" i="2"/>
  <c r="G162" i="2"/>
  <c r="J8" i="3"/>
  <c r="L95" i="2"/>
  <c r="L93" i="2"/>
  <c r="J53" i="3" s="1"/>
  <c r="L94" i="2"/>
  <c r="G173" i="2"/>
  <c r="H173" i="2" s="1"/>
  <c r="F130" i="2"/>
  <c r="G137" i="2"/>
  <c r="G139" i="2" s="1"/>
  <c r="E15" i="3" s="1"/>
  <c r="F133" i="2"/>
  <c r="F127" i="2"/>
  <c r="I158" i="2"/>
  <c r="H160" i="2"/>
  <c r="G130" i="2"/>
  <c r="D24" i="3"/>
  <c r="F174" i="2"/>
  <c r="F131" i="2"/>
  <c r="F73" i="2"/>
  <c r="F74" i="2" s="1"/>
  <c r="F142" i="2" s="1"/>
  <c r="F112" i="2"/>
  <c r="I87" i="2"/>
  <c r="I143" i="2" s="1"/>
  <c r="J86" i="2"/>
  <c r="J85" i="2" s="1"/>
  <c r="G16" i="2"/>
  <c r="H16" i="2"/>
  <c r="F96" i="2"/>
  <c r="F97" i="2" s="1"/>
  <c r="H14" i="2"/>
  <c r="H15" i="2" s="1"/>
  <c r="I22" i="2"/>
  <c r="G54" i="3" s="1"/>
  <c r="I62" i="2"/>
  <c r="G62" i="2"/>
  <c r="F62" i="2"/>
  <c r="H62" i="2"/>
  <c r="J62" i="2"/>
  <c r="H118" i="2"/>
  <c r="H33" i="2"/>
  <c r="H41" i="2" s="1"/>
  <c r="H49" i="2" s="1"/>
  <c r="G57" i="2"/>
  <c r="F159" i="2"/>
  <c r="G159" i="2" s="1"/>
  <c r="G36" i="2"/>
  <c r="G27" i="2"/>
  <c r="F44" i="2"/>
  <c r="F35" i="2"/>
  <c r="G56" i="2"/>
  <c r="G54" i="2"/>
  <c r="F47" i="2"/>
  <c r="F55" i="2" s="1"/>
  <c r="G55" i="2" s="1"/>
  <c r="G37" i="2"/>
  <c r="G45" i="2" s="1"/>
  <c r="G53" i="2" s="1"/>
  <c r="H29" i="2"/>
  <c r="H28" i="2"/>
  <c r="H32" i="2"/>
  <c r="H31" i="2"/>
  <c r="H30" i="2"/>
  <c r="F139" i="2"/>
  <c r="D15" i="3" s="1"/>
  <c r="C10" i="3"/>
  <c r="I19" i="2"/>
  <c r="I20" i="2" s="1"/>
  <c r="G95" i="2"/>
  <c r="E51" i="3" s="1"/>
  <c r="G93" i="2"/>
  <c r="E53" i="3" s="1"/>
  <c r="G94" i="2"/>
  <c r="E52" i="3" s="1"/>
  <c r="G73" i="2"/>
  <c r="G102" i="2"/>
  <c r="H91" i="2"/>
  <c r="F8" i="3" s="1"/>
  <c r="J99" i="2" l="1"/>
  <c r="J101" i="2"/>
  <c r="J100" i="2"/>
  <c r="L6" i="2"/>
  <c r="L99" i="2" s="1"/>
  <c r="L96" i="2"/>
  <c r="L97" i="2" s="1"/>
  <c r="L86" i="2"/>
  <c r="L85" i="2" s="1"/>
  <c r="L87" i="2" s="1"/>
  <c r="L143" i="2" s="1"/>
  <c r="C42" i="3"/>
  <c r="C41" i="3"/>
  <c r="H37" i="2"/>
  <c r="H45" i="2" s="1"/>
  <c r="H53" i="2" s="1"/>
  <c r="I173" i="2"/>
  <c r="H162" i="2"/>
  <c r="I160" i="2"/>
  <c r="J158" i="2"/>
  <c r="H159" i="2"/>
  <c r="H137" i="2"/>
  <c r="H139" i="2" s="1"/>
  <c r="F15" i="3" s="1"/>
  <c r="J87" i="2"/>
  <c r="J143" i="2" s="1"/>
  <c r="G74" i="2"/>
  <c r="I16" i="2"/>
  <c r="F104" i="2"/>
  <c r="G17" i="2"/>
  <c r="G18" i="2" s="1"/>
  <c r="G131" i="2" s="1"/>
  <c r="I14" i="2"/>
  <c r="I15" i="2" s="1"/>
  <c r="J22" i="2"/>
  <c r="H54" i="3" s="1"/>
  <c r="H57" i="2"/>
  <c r="I33" i="2"/>
  <c r="I41" i="2" s="1"/>
  <c r="I49" i="2" s="1"/>
  <c r="I118" i="2"/>
  <c r="G35" i="2"/>
  <c r="H36" i="2"/>
  <c r="H27" i="2"/>
  <c r="G44" i="2"/>
  <c r="F43" i="2"/>
  <c r="F107" i="2"/>
  <c r="F157" i="2"/>
  <c r="H39" i="2"/>
  <c r="H40" i="2"/>
  <c r="H48" i="2" s="1"/>
  <c r="H56" i="2" s="1"/>
  <c r="H38" i="2"/>
  <c r="H46" i="2" s="1"/>
  <c r="H54" i="2" s="1"/>
  <c r="I28" i="2"/>
  <c r="I29" i="2"/>
  <c r="I37" i="2" s="1"/>
  <c r="I45" i="2" s="1"/>
  <c r="I31" i="2"/>
  <c r="I30" i="2"/>
  <c r="I38" i="2" s="1"/>
  <c r="I46" i="2" s="1"/>
  <c r="I32" i="2"/>
  <c r="I40" i="2" s="1"/>
  <c r="I48" i="2" s="1"/>
  <c r="C40" i="3"/>
  <c r="E24" i="3"/>
  <c r="H95" i="2"/>
  <c r="F51" i="3" s="1"/>
  <c r="H94" i="2"/>
  <c r="F52" i="3" s="1"/>
  <c r="H93" i="2"/>
  <c r="F53" i="3" s="1"/>
  <c r="F52" i="2"/>
  <c r="I91" i="2"/>
  <c r="G8" i="3" s="1"/>
  <c r="G96" i="2"/>
  <c r="G97" i="2" s="1"/>
  <c r="H102" i="2"/>
  <c r="J173" i="2" l="1"/>
  <c r="L173" i="2" s="1"/>
  <c r="J19" i="2"/>
  <c r="J20" i="2" s="1"/>
  <c r="J160" i="2" s="1"/>
  <c r="L158" i="2"/>
  <c r="G157" i="2"/>
  <c r="E22" i="3" s="1"/>
  <c r="F105" i="2"/>
  <c r="D50" i="3"/>
  <c r="D55" i="3" s="1"/>
  <c r="D9" i="3"/>
  <c r="I159" i="2"/>
  <c r="I137" i="2"/>
  <c r="I139" i="2" s="1"/>
  <c r="G15" i="3" s="1"/>
  <c r="I162" i="2"/>
  <c r="H130" i="2"/>
  <c r="G174" i="2"/>
  <c r="J16" i="2"/>
  <c r="H17" i="2"/>
  <c r="H18" i="2" s="1"/>
  <c r="H131" i="2" s="1"/>
  <c r="J14" i="2"/>
  <c r="F24" i="3"/>
  <c r="H73" i="2"/>
  <c r="J118" i="2"/>
  <c r="J33" i="2"/>
  <c r="J41" i="2" s="1"/>
  <c r="J49" i="2" s="1"/>
  <c r="I57" i="2"/>
  <c r="D22" i="3"/>
  <c r="G52" i="2"/>
  <c r="G51" i="2" s="1"/>
  <c r="F51" i="2"/>
  <c r="G43" i="2"/>
  <c r="G107" i="2"/>
  <c r="G126" i="2" s="1"/>
  <c r="I27" i="2"/>
  <c r="H35" i="2"/>
  <c r="I56" i="2"/>
  <c r="I54" i="2"/>
  <c r="I36" i="2"/>
  <c r="I53" i="2"/>
  <c r="H44" i="2"/>
  <c r="H47" i="2"/>
  <c r="H55" i="2" s="1"/>
  <c r="I39" i="2"/>
  <c r="I47" i="2" s="1"/>
  <c r="J28" i="2"/>
  <c r="J30" i="2"/>
  <c r="J38" i="2" s="1"/>
  <c r="J46" i="2" s="1"/>
  <c r="J29" i="2"/>
  <c r="J31" i="2"/>
  <c r="J39" i="2" s="1"/>
  <c r="J47" i="2" s="1"/>
  <c r="J32" i="2"/>
  <c r="J40" i="2" s="1"/>
  <c r="J48" i="2" s="1"/>
  <c r="G104" i="2"/>
  <c r="H96" i="2"/>
  <c r="H97" i="2" s="1"/>
  <c r="D39" i="3"/>
  <c r="I95" i="2"/>
  <c r="G51" i="3" s="1"/>
  <c r="I93" i="2"/>
  <c r="G53" i="3" s="1"/>
  <c r="I94" i="2"/>
  <c r="G52" i="3" s="1"/>
  <c r="I102" i="2"/>
  <c r="F126" i="2"/>
  <c r="F114" i="2"/>
  <c r="F115" i="2" s="1"/>
  <c r="J91" i="2"/>
  <c r="H8" i="3" s="1"/>
  <c r="L19" i="2" l="1"/>
  <c r="L20" i="2" s="1"/>
  <c r="L32" i="2"/>
  <c r="L40" i="2" s="1"/>
  <c r="L48" i="2" s="1"/>
  <c r="L33" i="2"/>
  <c r="L41" i="2" s="1"/>
  <c r="L49" i="2" s="1"/>
  <c r="L101" i="2"/>
  <c r="L100" i="2"/>
  <c r="L28" i="2"/>
  <c r="L29" i="2"/>
  <c r="L37" i="2" s="1"/>
  <c r="L45" i="2" s="1"/>
  <c r="L30" i="2"/>
  <c r="L38" i="2" s="1"/>
  <c r="L46" i="2" s="1"/>
  <c r="L31" i="2"/>
  <c r="L39" i="2" s="1"/>
  <c r="L47" i="2" s="1"/>
  <c r="L160" i="2"/>
  <c r="L118" i="2"/>
  <c r="H157" i="2"/>
  <c r="J37" i="2"/>
  <c r="J45" i="2" s="1"/>
  <c r="J53" i="2" s="1"/>
  <c r="J159" i="2"/>
  <c r="J162" i="2"/>
  <c r="J73" i="2" s="1"/>
  <c r="I130" i="2"/>
  <c r="J137" i="2"/>
  <c r="J139" i="2" s="1"/>
  <c r="H15" i="3" s="1"/>
  <c r="G105" i="2"/>
  <c r="E50" i="3"/>
  <c r="E9" i="3"/>
  <c r="H174" i="2"/>
  <c r="H74" i="2"/>
  <c r="I17" i="2"/>
  <c r="I18" i="2" s="1"/>
  <c r="I131" i="2" s="1"/>
  <c r="G24" i="3"/>
  <c r="I73" i="2"/>
  <c r="I74" i="2" s="1"/>
  <c r="J15" i="2"/>
  <c r="L16" i="2" s="1"/>
  <c r="J57" i="2"/>
  <c r="J27" i="2"/>
  <c r="I44" i="2"/>
  <c r="I35" i="2"/>
  <c r="H43" i="2"/>
  <c r="H107" i="2"/>
  <c r="H126" i="2" s="1"/>
  <c r="I55" i="2"/>
  <c r="J55" i="2" s="1"/>
  <c r="J36" i="2"/>
  <c r="J56" i="2"/>
  <c r="J54" i="2"/>
  <c r="H52" i="2"/>
  <c r="H104" i="2"/>
  <c r="J95" i="2"/>
  <c r="H51" i="3" s="1"/>
  <c r="J93" i="2"/>
  <c r="H53" i="3" s="1"/>
  <c r="J94" i="2"/>
  <c r="H52" i="3" s="1"/>
  <c r="F125" i="2"/>
  <c r="F134" i="2"/>
  <c r="F164" i="2" s="1"/>
  <c r="J102" i="2"/>
  <c r="I96" i="2"/>
  <c r="I97" i="2" s="1"/>
  <c r="L57" i="2" l="1"/>
  <c r="L54" i="2"/>
  <c r="L56" i="2"/>
  <c r="J51" i="3"/>
  <c r="L53" i="2"/>
  <c r="L55" i="2"/>
  <c r="L102" i="2"/>
  <c r="L104" i="2" s="1"/>
  <c r="J52" i="3"/>
  <c r="L137" i="2"/>
  <c r="L139" i="2" s="1"/>
  <c r="J15" i="3" s="1"/>
  <c r="L27" i="2"/>
  <c r="J130" i="2"/>
  <c r="L162" i="2"/>
  <c r="I157" i="2"/>
  <c r="G22" i="3" s="1"/>
  <c r="L159" i="2"/>
  <c r="L36" i="2"/>
  <c r="H105" i="2"/>
  <c r="F50" i="3"/>
  <c r="F9" i="3"/>
  <c r="I174" i="2"/>
  <c r="D23" i="3"/>
  <c r="J74" i="2"/>
  <c r="J17" i="2"/>
  <c r="F22" i="3"/>
  <c r="J44" i="2"/>
  <c r="J35" i="2"/>
  <c r="I52" i="2"/>
  <c r="I51" i="2" s="1"/>
  <c r="H51" i="2"/>
  <c r="I43" i="2"/>
  <c r="I107" i="2"/>
  <c r="I126" i="2" s="1"/>
  <c r="I104" i="2"/>
  <c r="J96" i="2"/>
  <c r="J97" i="2" s="1"/>
  <c r="H24" i="3"/>
  <c r="F116" i="2"/>
  <c r="F119" i="2" s="1"/>
  <c r="J157" i="2" l="1"/>
  <c r="H22" i="3" s="1"/>
  <c r="J9" i="3"/>
  <c r="J50" i="3"/>
  <c r="J55" i="3" s="1"/>
  <c r="L105" i="2"/>
  <c r="J18" i="2"/>
  <c r="J131" i="2" s="1"/>
  <c r="L17" i="2"/>
  <c r="L18" i="2" s="1"/>
  <c r="L131" i="2" s="1"/>
  <c r="L44" i="2"/>
  <c r="L35" i="2"/>
  <c r="J24" i="3"/>
  <c r="L130" i="2"/>
  <c r="L73" i="2"/>
  <c r="L74" i="2" s="1"/>
  <c r="F169" i="2"/>
  <c r="D46" i="3" s="1"/>
  <c r="D10" i="3"/>
  <c r="D40" i="3" s="1"/>
  <c r="I105" i="2"/>
  <c r="G50" i="3"/>
  <c r="G9" i="3"/>
  <c r="J52" i="2"/>
  <c r="J43" i="2"/>
  <c r="J107" i="2"/>
  <c r="J126" i="2" s="1"/>
  <c r="J104" i="2"/>
  <c r="F120" i="2"/>
  <c r="E55" i="3"/>
  <c r="L43" i="2" l="1"/>
  <c r="L107" i="2"/>
  <c r="J51" i="2"/>
  <c r="L52" i="2"/>
  <c r="L51" i="2" s="1"/>
  <c r="J174" i="2"/>
  <c r="L174" i="2" s="1"/>
  <c r="J30" i="3" s="1"/>
  <c r="L157" i="2"/>
  <c r="J22" i="3" s="1"/>
  <c r="J105" i="2"/>
  <c r="H50" i="3"/>
  <c r="H55" i="3" s="1"/>
  <c r="H9" i="3"/>
  <c r="F170" i="2"/>
  <c r="D28" i="3" s="1"/>
  <c r="L126" i="2" l="1"/>
  <c r="G55" i="3"/>
  <c r="F55" i="3"/>
  <c r="D41" i="3"/>
  <c r="C30" i="3" l="1"/>
  <c r="C31" i="3" s="1"/>
  <c r="E176" i="2"/>
  <c r="E177" i="2" s="1"/>
  <c r="D30" i="3" l="1"/>
  <c r="E30" i="3" l="1"/>
  <c r="F30" i="3"/>
  <c r="G30" i="3"/>
  <c r="H30" i="3" l="1"/>
  <c r="F135" i="2"/>
  <c r="E135" i="2"/>
  <c r="D14" i="3" l="1"/>
  <c r="D36" i="3"/>
  <c r="D22" i="4" s="1"/>
  <c r="D25" i="4" s="1"/>
  <c r="C35" i="3"/>
  <c r="E149" i="2"/>
  <c r="E152" i="2" s="1"/>
  <c r="C18" i="3" s="1"/>
  <c r="C14" i="3"/>
  <c r="C17" i="3" s="1"/>
  <c r="F151" i="2" l="1"/>
  <c r="F79" i="2"/>
  <c r="G80" i="2" l="1"/>
  <c r="G142" i="2" s="1"/>
  <c r="F172" i="2"/>
  <c r="F141" i="2"/>
  <c r="D35" i="3" l="1"/>
  <c r="F147" i="2"/>
  <c r="D16" i="3" s="1"/>
  <c r="G110" i="2"/>
  <c r="F176" i="2"/>
  <c r="D29" i="3"/>
  <c r="E39" i="3" l="1"/>
  <c r="F149" i="2"/>
  <c r="D17" i="3"/>
  <c r="D31" i="3"/>
  <c r="F163" i="2" l="1"/>
  <c r="F152" i="2"/>
  <c r="D18" i="3" l="1"/>
  <c r="G151" i="2"/>
  <c r="D25" i="3"/>
  <c r="F165" i="2"/>
  <c r="F177" i="2" s="1"/>
  <c r="G109" i="2"/>
  <c r="G127" i="2" l="1"/>
  <c r="G133" i="2"/>
  <c r="G112" i="2"/>
  <c r="D47" i="3"/>
  <c r="D26" i="3"/>
  <c r="D38" i="3"/>
  <c r="D37" i="3" l="1"/>
  <c r="D42" i="3"/>
  <c r="G114" i="2"/>
  <c r="G125" i="2" s="1"/>
  <c r="G115" i="2" l="1"/>
  <c r="G134" i="2" s="1"/>
  <c r="G164" i="2" s="1"/>
  <c r="G135" i="2" l="1"/>
  <c r="E23" i="3"/>
  <c r="G116" i="2"/>
  <c r="G119" i="2" s="1"/>
  <c r="E14" i="3" l="1"/>
  <c r="E36" i="3"/>
  <c r="E22" i="4" s="1"/>
  <c r="E25" i="4" s="1"/>
  <c r="G169" i="2"/>
  <c r="G170" i="2" s="1"/>
  <c r="E10" i="3"/>
  <c r="G120" i="2"/>
  <c r="G79" i="2"/>
  <c r="G141" i="2" l="1"/>
  <c r="G147" i="2" s="1"/>
  <c r="G172" i="2"/>
  <c r="G176" i="2" s="1"/>
  <c r="H80" i="2"/>
  <c r="H142" i="2" s="1"/>
  <c r="E46" i="3"/>
  <c r="E28" i="3"/>
  <c r="E41" i="3" s="1"/>
  <c r="E40" i="3"/>
  <c r="G149" i="2" l="1"/>
  <c r="E16" i="3"/>
  <c r="E29" i="3"/>
  <c r="E31" i="3" s="1"/>
  <c r="H110" i="2"/>
  <c r="E35" i="3"/>
  <c r="E17" i="3" l="1"/>
  <c r="G163" i="2"/>
  <c r="F39" i="3"/>
  <c r="G165" i="2" l="1"/>
  <c r="G152" i="2"/>
  <c r="H151" i="2" l="1"/>
  <c r="E18" i="3"/>
  <c r="E25" i="3"/>
  <c r="H109" i="2"/>
  <c r="G177" i="2"/>
  <c r="H127" i="2" l="1"/>
  <c r="H133" i="2"/>
  <c r="H112" i="2"/>
  <c r="E47" i="3"/>
  <c r="E26" i="3"/>
  <c r="E38" i="3"/>
  <c r="E42" i="3" l="1"/>
  <c r="E37" i="3"/>
  <c r="H114" i="2"/>
  <c r="H125" i="2" s="1"/>
  <c r="H115" i="2" l="1"/>
  <c r="H134" i="2" s="1"/>
  <c r="H135" i="2" l="1"/>
  <c r="H116" i="2"/>
  <c r="H119" i="2" s="1"/>
  <c r="F10" i="3" s="1"/>
  <c r="F14" i="3" l="1"/>
  <c r="F36" i="3"/>
  <c r="F22" i="4" s="1"/>
  <c r="F25" i="4" s="1"/>
  <c r="H164" i="2"/>
  <c r="F23" i="3" s="1"/>
  <c r="H120" i="2"/>
  <c r="H169" i="2"/>
  <c r="F46" i="3" s="1"/>
  <c r="F40" i="3"/>
  <c r="H79" i="2"/>
  <c r="H141" i="2" l="1"/>
  <c r="H147" i="2" s="1"/>
  <c r="H172" i="2"/>
  <c r="H176" i="2" s="1"/>
  <c r="H170" i="2"/>
  <c r="F28" i="3" s="1"/>
  <c r="F41" i="3" s="1"/>
  <c r="I80" i="2"/>
  <c r="I142" i="2" s="1"/>
  <c r="H149" i="2" l="1"/>
  <c r="F16" i="3"/>
  <c r="I110" i="2"/>
  <c r="F29" i="3"/>
  <c r="F35" i="3"/>
  <c r="F31" i="3" l="1"/>
  <c r="F17" i="3"/>
  <c r="H163" i="2"/>
  <c r="G39" i="3"/>
  <c r="H165" i="2" l="1"/>
  <c r="H152" i="2"/>
  <c r="F18" i="3" l="1"/>
  <c r="I151" i="2"/>
  <c r="I109" i="2"/>
  <c r="H177" i="2"/>
  <c r="F25" i="3"/>
  <c r="I127" i="2" l="1"/>
  <c r="I133" i="2"/>
  <c r="F47" i="3"/>
  <c r="F26" i="3"/>
  <c r="F38" i="3"/>
  <c r="I112" i="2"/>
  <c r="I114" i="2" l="1"/>
  <c r="I125" i="2" s="1"/>
  <c r="F42" i="3"/>
  <c r="F37" i="3"/>
  <c r="I115" i="2" l="1"/>
  <c r="I134" i="2" s="1"/>
  <c r="I135" i="2" l="1"/>
  <c r="I116" i="2"/>
  <c r="I119" i="2" s="1"/>
  <c r="G10" i="3" s="1"/>
  <c r="G14" i="3" l="1"/>
  <c r="G36" i="3"/>
  <c r="G22" i="4" s="1"/>
  <c r="G25" i="4" s="1"/>
  <c r="I164" i="2"/>
  <c r="G23" i="3" s="1"/>
  <c r="I169" i="2"/>
  <c r="I120" i="2"/>
  <c r="I79" i="2"/>
  <c r="G40" i="3"/>
  <c r="I141" i="2" l="1"/>
  <c r="I147" i="2" s="1"/>
  <c r="I172" i="2"/>
  <c r="I176" i="2" s="1"/>
  <c r="I170" i="2"/>
  <c r="G28" i="3" s="1"/>
  <c r="G41" i="3" s="1"/>
  <c r="G46" i="3"/>
  <c r="J80" i="2"/>
  <c r="J142" i="2" s="1"/>
  <c r="I149" i="2" l="1"/>
  <c r="G16" i="3"/>
  <c r="J110" i="2"/>
  <c r="G29" i="3"/>
  <c r="G35" i="3"/>
  <c r="G17" i="3" l="1"/>
  <c r="I163" i="2"/>
  <c r="G31" i="3"/>
  <c r="H39" i="3"/>
  <c r="I165" i="2" l="1"/>
  <c r="I152" i="2"/>
  <c r="G18" i="3" l="1"/>
  <c r="J151" i="2"/>
  <c r="I177" i="2"/>
  <c r="J109" i="2"/>
  <c r="G25" i="3"/>
  <c r="J127" i="2" l="1"/>
  <c r="J133" i="2"/>
  <c r="G47" i="3"/>
  <c r="G26" i="3"/>
  <c r="G38" i="3"/>
  <c r="J112" i="2"/>
  <c r="J114" i="2" l="1"/>
  <c r="J125" i="2" s="1"/>
  <c r="G42" i="3"/>
  <c r="G37" i="3"/>
  <c r="J115" i="2" l="1"/>
  <c r="J134" i="2" s="1"/>
  <c r="J135" i="2" l="1"/>
  <c r="J116" i="2"/>
  <c r="J119" i="2" s="1"/>
  <c r="H14" i="3" l="1"/>
  <c r="H36" i="3"/>
  <c r="H22" i="4" s="1"/>
  <c r="H25" i="4" s="1"/>
  <c r="J169" i="2"/>
  <c r="H46" i="3" s="1"/>
  <c r="H10" i="3"/>
  <c r="H40" i="3" s="1"/>
  <c r="J120" i="2"/>
  <c r="J164" i="2"/>
  <c r="H23" i="3" s="1"/>
  <c r="J79" i="2"/>
  <c r="L142" i="2" s="1"/>
  <c r="J170" i="2" l="1"/>
  <c r="H28" i="3" s="1"/>
  <c r="H41" i="3" s="1"/>
  <c r="J141" i="2"/>
  <c r="J172" i="2"/>
  <c r="J147" i="2" l="1"/>
  <c r="H35" i="3"/>
  <c r="J176" i="2"/>
  <c r="L110" i="2"/>
  <c r="H29" i="3"/>
  <c r="H31" i="3" s="1"/>
  <c r="J149" i="2" l="1"/>
  <c r="H16" i="3"/>
  <c r="H17" i="3" s="1"/>
  <c r="J39" i="3"/>
  <c r="J163" i="2" l="1"/>
  <c r="J152" i="2"/>
  <c r="L151" i="2" l="1"/>
  <c r="H18" i="3"/>
  <c r="H25" i="3"/>
  <c r="J165" i="2"/>
  <c r="J177" i="2" s="1"/>
  <c r="L109" i="2"/>
  <c r="L127" i="2" l="1"/>
  <c r="L133" i="2"/>
  <c r="L112" i="2"/>
  <c r="L114" i="2" s="1"/>
  <c r="H26" i="3"/>
  <c r="H47" i="3"/>
  <c r="H38" i="3"/>
  <c r="H42" i="3" l="1"/>
  <c r="H37" i="3"/>
  <c r="L115" i="2"/>
  <c r="L125" i="2"/>
  <c r="L134" i="2" l="1"/>
  <c r="L116" i="2"/>
  <c r="L119" i="2" s="1"/>
  <c r="L135" i="2" l="1"/>
  <c r="L164" i="2"/>
  <c r="J23" i="3" s="1"/>
  <c r="J10" i="3"/>
  <c r="J40" i="3" s="1"/>
  <c r="L169" i="2"/>
  <c r="L120" i="2"/>
  <c r="L79" i="2" l="1"/>
  <c r="J36" i="3"/>
  <c r="J22" i="4" s="1"/>
  <c r="H23" i="4" s="1"/>
  <c r="H26" i="4" s="1"/>
  <c r="C27" i="4" s="1"/>
  <c r="J14" i="3"/>
  <c r="J46" i="3"/>
  <c r="L170" i="2"/>
  <c r="J28" i="3" s="1"/>
  <c r="J41" i="3" s="1"/>
  <c r="L172" i="2" l="1"/>
  <c r="L141" i="2"/>
  <c r="C4" i="4"/>
  <c r="J29" i="3" l="1"/>
  <c r="L176" i="2"/>
  <c r="J35" i="3"/>
  <c r="L147" i="2"/>
  <c r="C7" i="4"/>
  <c r="D7" i="4" s="1"/>
  <c r="F7" i="4" s="1"/>
  <c r="D4" i="4"/>
  <c r="J31" i="3" l="1"/>
  <c r="L149" i="2"/>
  <c r="J16" i="3"/>
  <c r="J17" i="3" s="1"/>
  <c r="G6" i="5"/>
  <c r="B9" i="5" s="1"/>
  <c r="F4" i="4"/>
  <c r="L152" i="2" l="1"/>
  <c r="J18" i="3" s="1"/>
  <c r="L163" i="2"/>
  <c r="L165" i="2" l="1"/>
  <c r="L177" i="2" s="1"/>
  <c r="J25" i="3"/>
  <c r="J38" i="3" l="1"/>
  <c r="J26" i="3"/>
  <c r="J47" i="3"/>
  <c r="J37" i="3" l="1"/>
  <c r="J42" i="3"/>
</calcChain>
</file>

<file path=xl/sharedStrings.xml><?xml version="1.0" encoding="utf-8"?>
<sst xmlns="http://schemas.openxmlformats.org/spreadsheetml/2006/main" count="461" uniqueCount="215">
  <si>
    <t>План продаж</t>
  </si>
  <si>
    <t>Структура себестоимости*</t>
  </si>
  <si>
    <t>Прочие вводные данные</t>
  </si>
  <si>
    <t>Год</t>
  </si>
  <si>
    <t>Ед. изм.</t>
  </si>
  <si>
    <t>Значение</t>
  </si>
  <si>
    <t>Показатель</t>
  </si>
  <si>
    <t>Ежегодный прирост</t>
  </si>
  <si>
    <t>%</t>
  </si>
  <si>
    <t>ТМЦ</t>
  </si>
  <si>
    <t>Минимальный остаток денежных средств</t>
  </si>
  <si>
    <t>млн руб.</t>
  </si>
  <si>
    <t>Валовая маржинальность*</t>
  </si>
  <si>
    <t>Оплата труда</t>
  </si>
  <si>
    <t>Срок кредитования</t>
  </si>
  <si>
    <t>лет</t>
  </si>
  <si>
    <t>Прочее</t>
  </si>
  <si>
    <t>*Без учета амортизации</t>
  </si>
  <si>
    <t>Итого:</t>
  </si>
  <si>
    <t>Инвестиции (в текущих ценах)</t>
  </si>
  <si>
    <t>Машины и оборудование</t>
  </si>
  <si>
    <t>Макроэкономика</t>
  </si>
  <si>
    <t>Инфляция</t>
  </si>
  <si>
    <t>Проценты по депозитам</t>
  </si>
  <si>
    <t>Ставка кредитования</t>
  </si>
  <si>
    <t>Налог на прибыль</t>
  </si>
  <si>
    <t>Выбор сценария</t>
  </si>
  <si>
    <t>Получение аванса</t>
  </si>
  <si>
    <t>Сценарий</t>
  </si>
  <si>
    <t>Погашение задолженности</t>
  </si>
  <si>
    <t>Аванс</t>
  </si>
  <si>
    <t>Процент</t>
  </si>
  <si>
    <t>Основные средства (ОС) и нематериальные активы (НМА)</t>
  </si>
  <si>
    <t>Типы основных средств</t>
  </si>
  <si>
    <t>Первонач. стоимость</t>
  </si>
  <si>
    <t>Остаточ. 
стоимость</t>
  </si>
  <si>
    <t>Аморти-зация</t>
  </si>
  <si>
    <t>Общий срок амортиз.</t>
  </si>
  <si>
    <t>Остаточ. срок амортиз.</t>
  </si>
  <si>
    <t>Доля в инвести-циях</t>
  </si>
  <si>
    <t>НМА</t>
  </si>
  <si>
    <t>Земельные участки и здания</t>
  </si>
  <si>
    <t>Транспортные средства</t>
  </si>
  <si>
    <t>Незавершенное строительство</t>
  </si>
  <si>
    <t>Доля онлайн-продаж</t>
  </si>
  <si>
    <t>Период</t>
  </si>
  <si>
    <t>Дата</t>
  </si>
  <si>
    <t>Х</t>
  </si>
  <si>
    <t>Этапы</t>
  </si>
  <si>
    <t>Факт</t>
  </si>
  <si>
    <t>План</t>
  </si>
  <si>
    <t>k инфляции</t>
  </si>
  <si>
    <t>Вспомогательные расчеты</t>
  </si>
  <si>
    <t>Планирование выручки</t>
  </si>
  <si>
    <t>Продажи продукции</t>
  </si>
  <si>
    <t>Выручка итого:</t>
  </si>
  <si>
    <t>Инвестиции</t>
  </si>
  <si>
    <t>Первоначальная стоимость</t>
  </si>
  <si>
    <t>Амортизация</t>
  </si>
  <si>
    <t>Остаточная стоимость</t>
  </si>
  <si>
    <t>Старые основные средства и НМА</t>
  </si>
  <si>
    <t>Здания</t>
  </si>
  <si>
    <t>Финансирование новых инвестиций</t>
  </si>
  <si>
    <t>Поступление финансирования</t>
  </si>
  <si>
    <t>Погашение долга</t>
  </si>
  <si>
    <t>Кредитование под минимальный остаток денежных средств</t>
  </si>
  <si>
    <t>Отчет о доходах и расходах</t>
  </si>
  <si>
    <t>Выручка</t>
  </si>
  <si>
    <t>Товарно-материальные ценности (ТМЦ)</t>
  </si>
  <si>
    <t>Фонд оплаты труда (ФОТ)</t>
  </si>
  <si>
    <t>Себестоимость переменная</t>
  </si>
  <si>
    <t>Валовая маржинальность</t>
  </si>
  <si>
    <t>ФОТ (управленческий персонал)</t>
  </si>
  <si>
    <t>Административные расходы</t>
  </si>
  <si>
    <t>Прочие доходы и расходы</t>
  </si>
  <si>
    <t>Постоянные расходы</t>
  </si>
  <si>
    <t>EBITDA</t>
  </si>
  <si>
    <t>% от выручки</t>
  </si>
  <si>
    <t>Финансовые доходы</t>
  </si>
  <si>
    <t>Финансовые расходы</t>
  </si>
  <si>
    <t>Финансовые доходы и расходы</t>
  </si>
  <si>
    <t>Прибыль до налога</t>
  </si>
  <si>
    <t>Чистая прибыль</t>
  </si>
  <si>
    <t>Прочий совокупный доход и расход</t>
  </si>
  <si>
    <t>Итого совокупный доход</t>
  </si>
  <si>
    <t>Отчет о движении денежных средств</t>
  </si>
  <si>
    <t>Корректировки</t>
  </si>
  <si>
    <t>Изменения оборотного капитала:</t>
  </si>
  <si>
    <t>Изменение запасов</t>
  </si>
  <si>
    <t>Изменение прочие</t>
  </si>
  <si>
    <t>Налог на прибыль уплаченный</t>
  </si>
  <si>
    <t>Операционный CF</t>
  </si>
  <si>
    <t>Приобретение ОС</t>
  </si>
  <si>
    <t>Инвестиционный CF</t>
  </si>
  <si>
    <t>Взнос капитала</t>
  </si>
  <si>
    <t>Дивиденды</t>
  </si>
  <si>
    <t>Финансовый CF</t>
  </si>
  <si>
    <t>Итого CF</t>
  </si>
  <si>
    <t>Остаток денежных средств на начало</t>
  </si>
  <si>
    <t>Остаток денежных средств на конец</t>
  </si>
  <si>
    <t>Баланс</t>
  </si>
  <si>
    <t>Основные средства</t>
  </si>
  <si>
    <t>Нематериальные активы</t>
  </si>
  <si>
    <t>Дебиторская задолженность прочая</t>
  </si>
  <si>
    <t>Запасы</t>
  </si>
  <si>
    <t>Денежные средства и эквиваленты</t>
  </si>
  <si>
    <t>Прочие активы</t>
  </si>
  <si>
    <t>Активы</t>
  </si>
  <si>
    <t>Накопленная прибыль</t>
  </si>
  <si>
    <t>Капитал</t>
  </si>
  <si>
    <t>Кредиты и займы</t>
  </si>
  <si>
    <t>Кредиторская задолженность</t>
  </si>
  <si>
    <t>Прочие обязательства</t>
  </si>
  <si>
    <t>Обязательства</t>
  </si>
  <si>
    <t>ПАО "КАМАЗ"</t>
  </si>
  <si>
    <t>Прогноз до 2025 года</t>
  </si>
  <si>
    <t>Суммы в млн руб. (если не указано иное)</t>
  </si>
  <si>
    <t>Доходы и расходы</t>
  </si>
  <si>
    <t>Прибыль</t>
  </si>
  <si>
    <t>Денежные потоки</t>
  </si>
  <si>
    <t>Операционная деятельность</t>
  </si>
  <si>
    <t>Кредиты и облигации</t>
  </si>
  <si>
    <t>Остаток денежных средств</t>
  </si>
  <si>
    <t>Основные средства и НМА</t>
  </si>
  <si>
    <t>Дебиторская задолженность и прочие активы</t>
  </si>
  <si>
    <t>Денежные средства</t>
  </si>
  <si>
    <t>Актив</t>
  </si>
  <si>
    <t>Долг</t>
  </si>
  <si>
    <t>Кредиторская задолженность и прочие об-ва</t>
  </si>
  <si>
    <t>Пассив</t>
  </si>
  <si>
    <t>Ключевые показатели</t>
  </si>
  <si>
    <t>FCFE</t>
  </si>
  <si>
    <t>FCFF</t>
  </si>
  <si>
    <t>Капитал/Активы</t>
  </si>
  <si>
    <t>Чистый долг/EBITDA</t>
  </si>
  <si>
    <t>EBITDA/Проценты</t>
  </si>
  <si>
    <t>Net margin</t>
  </si>
  <si>
    <t>ROE</t>
  </si>
  <si>
    <t>ROA</t>
  </si>
  <si>
    <t>Для презентации</t>
  </si>
  <si>
    <t>Свободные денежные средства</t>
  </si>
  <si>
    <t>Управленческие и прочие расходы</t>
  </si>
  <si>
    <t>Персонал</t>
  </si>
  <si>
    <t>Проверка</t>
  </si>
  <si>
    <t>Курс доллара</t>
  </si>
  <si>
    <t>Недвижимость</t>
  </si>
  <si>
    <t>Источник: годовой отчет за 2023 год</t>
  </si>
  <si>
    <t>Холодильное оборудование</t>
  </si>
  <si>
    <t>Курсовые разницы</t>
  </si>
  <si>
    <t>k роста</t>
  </si>
  <si>
    <t xml:space="preserve">Торговая дебиторская задолженность </t>
  </si>
  <si>
    <t>Уставный капитал</t>
  </si>
  <si>
    <t>Резервы</t>
  </si>
  <si>
    <t>Активы в форме права пользования</t>
  </si>
  <si>
    <t>Обязательства по аренде</t>
  </si>
  <si>
    <t>Платежи по аренде</t>
  </si>
  <si>
    <t xml:space="preserve">Прочие </t>
  </si>
  <si>
    <t>Проценты</t>
  </si>
  <si>
    <t>Доля КЗ поставщикам</t>
  </si>
  <si>
    <t>Всего КЗ</t>
  </si>
  <si>
    <t>Доля поставщиков</t>
  </si>
  <si>
    <t>Остаток КЗ</t>
  </si>
  <si>
    <t>Аванс по КЗ</t>
  </si>
  <si>
    <t>Погашение КЗ</t>
  </si>
  <si>
    <t>Дебиторская задолженность</t>
  </si>
  <si>
    <t>Аренда</t>
  </si>
  <si>
    <t>Новая аренда</t>
  </si>
  <si>
    <t>Платеж по аренде</t>
  </si>
  <si>
    <t>Обесценение активов в форме права собственности</t>
  </si>
  <si>
    <t>Изменение ДЗ</t>
  </si>
  <si>
    <t>Изменение КЗ</t>
  </si>
  <si>
    <t>Планируемая кредиторская задолженность</t>
  </si>
  <si>
    <t>Сценарии по КЗ</t>
  </si>
  <si>
    <t>Доля финансирования запасов</t>
  </si>
  <si>
    <t>Доходный метод</t>
  </si>
  <si>
    <t>WACC</t>
  </si>
  <si>
    <t>Доходность российских облигаций</t>
  </si>
  <si>
    <t>Биржевая доходность</t>
  </si>
  <si>
    <t>Бета</t>
  </si>
  <si>
    <t>Капитализация</t>
  </si>
  <si>
    <t>х</t>
  </si>
  <si>
    <t>Дисконтированный поток</t>
  </si>
  <si>
    <t>Терминальная стоимость</t>
  </si>
  <si>
    <t>EV</t>
  </si>
  <si>
    <t>Сравнительный метод</t>
  </si>
  <si>
    <t>Компания</t>
  </si>
  <si>
    <t>X5 Retail Group</t>
  </si>
  <si>
    <t>Магнит</t>
  </si>
  <si>
    <t>Лента</t>
  </si>
  <si>
    <t>Окей</t>
  </si>
  <si>
    <t>Число магазинов</t>
  </si>
  <si>
    <t>Капиталтизация</t>
  </si>
  <si>
    <t>EV/EBITDA</t>
  </si>
  <si>
    <t>EV/Sales</t>
  </si>
  <si>
    <t>EV 1</t>
  </si>
  <si>
    <t>EV 2</t>
  </si>
  <si>
    <t>Торговая площадь</t>
  </si>
  <si>
    <t>Стоимость акции</t>
  </si>
  <si>
    <t>Число акций, млн</t>
  </si>
  <si>
    <t>EBITDA на 1000 м2</t>
  </si>
  <si>
    <t>Выручка на 1000 м3</t>
  </si>
  <si>
    <t>Период дисконтирования</t>
  </si>
  <si>
    <t>Итоги</t>
  </si>
  <si>
    <t>Метод</t>
  </si>
  <si>
    <t>Equity</t>
  </si>
  <si>
    <t>Net Debt</t>
  </si>
  <si>
    <t>руб./акцию</t>
  </si>
  <si>
    <t>Вес</t>
  </si>
  <si>
    <t>Доходный (FCFF)</t>
  </si>
  <si>
    <t>Затратный</t>
  </si>
  <si>
    <t>Итоговая стоимость</t>
  </si>
  <si>
    <t>Сравнительный</t>
  </si>
  <si>
    <t>Анализ чувствительности</t>
  </si>
  <si>
    <t>Суммы в млрд руб. (если не указано иное)</t>
  </si>
  <si>
    <t>Постпрогнозный 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</si>
</sst>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%"/>
    <numFmt numFmtId="166" formatCode="0.0"/>
    <numFmt numFmtId="167" formatCode="_-* #,##0_-;\-* #,##0_-;_-* &quot;-&quot;??_-;_-@_-"/>
    <numFmt numFmtId="168" formatCode="_-* #,##0.0_-;\-* #,##0.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8"/>
      <name val="Calibri"/>
      <scheme val="minor"/>
    </font>
    <font>
      <sz val="11"/>
      <color theme="1"/>
      <name val="Calibri"/>
      <family val="2"/>
      <scheme val="minor"/>
    </font>
    <font>
      <sz val="11"/>
      <color rgb="FF7F7F7F"/>
      <name val="Calibri"/>
      <scheme val="minor"/>
    </font>
    <font>
      <sz val="11"/>
      <color rgb="FFFF0000"/>
      <name val="Calibri"/>
      <scheme val="minor"/>
    </font>
    <font>
      <sz val="11"/>
      <color rgb="FFBFBFBF"/>
      <name val="Calibri"/>
      <scheme val="minor"/>
    </font>
    <font>
      <b/>
      <sz val="22"/>
      <color theme="1"/>
      <name val="Calibri"/>
      <scheme val="minor"/>
    </font>
    <font>
      <sz val="14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A5A5A5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8"/>
      <name val="Calibri"/>
      <family val="2"/>
      <scheme val="minor"/>
    </font>
    <font>
      <i/>
      <sz val="11"/>
      <color theme="0" tint="-0.34998626667073579"/>
      <name val="Calibri"/>
      <family val="2"/>
      <charset val="204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0" tint="-0.249977111117893"/>
      <name val="Calibri"/>
      <family val="2"/>
      <charset val="204"/>
      <scheme val="minor"/>
    </font>
    <font>
      <sz val="11"/>
      <color theme="1"/>
      <name val="Bahnschrift Condensed"/>
      <family val="2"/>
      <charset val="204"/>
    </font>
    <font>
      <b/>
      <sz val="16"/>
      <color theme="1"/>
      <name val="Bahnschrift Condensed"/>
      <family val="2"/>
      <charset val="204"/>
    </font>
    <font>
      <sz val="11"/>
      <color theme="8"/>
      <name val="Bahnschrift Condensed"/>
      <family val="2"/>
      <charset val="204"/>
    </font>
    <font>
      <i/>
      <sz val="11"/>
      <color rgb="FFA5A5A5"/>
      <name val="Bahnschrift Condensed"/>
      <family val="2"/>
      <charset val="204"/>
    </font>
    <font>
      <sz val="11"/>
      <name val="Bahnschrift Condensed"/>
      <family val="2"/>
      <charset val="204"/>
    </font>
    <font>
      <sz val="11"/>
      <color theme="0"/>
      <name val="Bahnschrift Condensed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ADB9CA"/>
      </left>
      <right/>
      <top style="thin">
        <color rgb="FFADB9CA"/>
      </top>
      <bottom style="thin">
        <color rgb="FFADB9CA"/>
      </bottom>
      <diagonal/>
    </border>
    <border>
      <left style="thin">
        <color rgb="FFD8D8D8"/>
      </left>
      <right/>
      <top style="thin">
        <color rgb="FFADB9CA"/>
      </top>
      <bottom style="thin">
        <color rgb="FFADB9CA"/>
      </bottom>
      <diagonal/>
    </border>
    <border>
      <left style="thin">
        <color rgb="FFADB9CA"/>
      </left>
      <right style="thin">
        <color rgb="FFADB9CA"/>
      </right>
      <top style="thin">
        <color rgb="FFADB9CA"/>
      </top>
      <bottom style="thin">
        <color rgb="FFADB9CA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BFBFB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7" fontId="1" fillId="0" borderId="0" xfId="0" applyNumberFormat="1" applyFon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9" fontId="1" fillId="0" borderId="0" xfId="0" applyNumberFormat="1" applyFon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4" borderId="12" xfId="0" applyFill="1" applyBorder="1" applyAlignment="1">
      <alignment vertical="center"/>
    </xf>
    <xf numFmtId="0" fontId="0" fillId="4" borderId="12" xfId="0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3" fontId="1" fillId="0" borderId="13" xfId="0" applyNumberFormat="1" applyFon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3" fontId="1" fillId="0" borderId="12" xfId="0" applyNumberFormat="1" applyFont="1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3" fontId="0" fillId="2" borderId="12" xfId="0" applyNumberForma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3" fontId="1" fillId="0" borderId="14" xfId="0" applyNumberFormat="1" applyFon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right" vertical="center"/>
    </xf>
    <xf numFmtId="3" fontId="0" fillId="0" borderId="0" xfId="0" applyNumberFormat="1" applyAlignment="1">
      <alignment vertical="center"/>
    </xf>
    <xf numFmtId="3" fontId="5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7" fillId="0" borderId="0" xfId="0" applyFont="1"/>
    <xf numFmtId="0" fontId="8" fillId="0" borderId="0" xfId="0" applyFont="1"/>
    <xf numFmtId="3" fontId="0" fillId="2" borderId="12" xfId="0" applyNumberFormat="1" applyFill="1" applyBorder="1" applyAlignment="1">
      <alignment vertical="center"/>
    </xf>
    <xf numFmtId="1" fontId="1" fillId="2" borderId="16" xfId="0" applyNumberFormat="1" applyFont="1" applyFill="1" applyBorder="1" applyAlignment="1">
      <alignment horizontal="right" vertical="center"/>
    </xf>
    <xf numFmtId="1" fontId="0" fillId="2" borderId="12" xfId="0" applyNumberFormat="1" applyFill="1" applyBorder="1" applyAlignment="1">
      <alignment horizontal="right" vertical="center"/>
    </xf>
    <xf numFmtId="3" fontId="1" fillId="0" borderId="17" xfId="0" applyNumberFormat="1" applyFont="1" applyBorder="1" applyAlignment="1">
      <alignment horizontal="right" vertical="center"/>
    </xf>
    <xf numFmtId="3" fontId="0" fillId="0" borderId="12" xfId="0" applyNumberFormat="1" applyBorder="1" applyAlignment="1">
      <alignment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horizontal="right" vertical="center"/>
    </xf>
    <xf numFmtId="3" fontId="10" fillId="5" borderId="12" xfId="0" applyNumberFormat="1" applyFont="1" applyFill="1" applyBorder="1" applyAlignment="1">
      <alignment vertical="center"/>
    </xf>
    <xf numFmtId="1" fontId="10" fillId="5" borderId="16" xfId="0" applyNumberFormat="1" applyFont="1" applyFill="1" applyBorder="1" applyAlignment="1">
      <alignment horizontal="right" vertical="center"/>
    </xf>
    <xf numFmtId="1" fontId="10" fillId="5" borderId="12" xfId="0" applyNumberFormat="1" applyFont="1" applyFill="1" applyBorder="1" applyAlignment="1">
      <alignment horizontal="right" vertical="center"/>
    </xf>
    <xf numFmtId="3" fontId="1" fillId="0" borderId="18" xfId="0" applyNumberFormat="1" applyFont="1" applyBorder="1" applyAlignment="1">
      <alignment horizontal="right" vertical="center"/>
    </xf>
    <xf numFmtId="166" fontId="1" fillId="0" borderId="17" xfId="0" applyNumberFormat="1" applyFont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1" fillId="0" borderId="18" xfId="0" applyNumberFormat="1" applyFon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9" fontId="1" fillId="0" borderId="17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/>
    <xf numFmtId="0" fontId="11" fillId="0" borderId="0" xfId="0" applyFont="1"/>
    <xf numFmtId="3" fontId="11" fillId="0" borderId="0" xfId="0" applyNumberFormat="1" applyFont="1"/>
    <xf numFmtId="0" fontId="13" fillId="0" borderId="0" xfId="0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0" fontId="17" fillId="0" borderId="0" xfId="0" applyNumberFormat="1" applyFont="1"/>
    <xf numFmtId="0" fontId="0" fillId="0" borderId="19" xfId="0" applyBorder="1"/>
    <xf numFmtId="10" fontId="17" fillId="0" borderId="19" xfId="0" applyNumberFormat="1" applyFont="1" applyBorder="1"/>
    <xf numFmtId="0" fontId="18" fillId="0" borderId="0" xfId="0" applyFont="1"/>
    <xf numFmtId="3" fontId="18" fillId="0" borderId="0" xfId="0" applyNumberFormat="1" applyFont="1"/>
    <xf numFmtId="0" fontId="19" fillId="0" borderId="0" xfId="0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165" fontId="19" fillId="0" borderId="19" xfId="0" applyNumberFormat="1" applyFont="1" applyBorder="1" applyAlignment="1">
      <alignment horizontal="center" vertical="center"/>
    </xf>
    <xf numFmtId="165" fontId="0" fillId="7" borderId="19" xfId="0" applyNumberFormat="1" applyFill="1" applyBorder="1" applyAlignment="1">
      <alignment horizontal="center" vertical="center"/>
    </xf>
    <xf numFmtId="165" fontId="19" fillId="0" borderId="2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65" fontId="0" fillId="7" borderId="22" xfId="0" applyNumberForma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horizontal="right"/>
    </xf>
    <xf numFmtId="0" fontId="21" fillId="2" borderId="1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right" vertical="center"/>
    </xf>
    <xf numFmtId="0" fontId="21" fillId="2" borderId="4" xfId="0" applyFont="1" applyFill="1" applyBorder="1" applyAlignment="1">
      <alignment vertical="center"/>
    </xf>
    <xf numFmtId="0" fontId="21" fillId="2" borderId="3" xfId="0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9" fontId="23" fillId="0" borderId="3" xfId="0" applyNumberFormat="1" applyFont="1" applyBorder="1" applyAlignment="1">
      <alignment horizontal="right" vertical="center"/>
    </xf>
    <xf numFmtId="9" fontId="21" fillId="0" borderId="3" xfId="0" applyNumberFormat="1" applyFont="1" applyBorder="1" applyAlignment="1">
      <alignment horizontal="right" vertical="center"/>
    </xf>
    <xf numFmtId="0" fontId="21" fillId="0" borderId="4" xfId="0" applyFont="1" applyBorder="1" applyAlignment="1">
      <alignment vertical="center"/>
    </xf>
    <xf numFmtId="3" fontId="21" fillId="0" borderId="3" xfId="0" applyNumberFormat="1" applyFont="1" applyBorder="1" applyAlignment="1">
      <alignment horizontal="right" vertical="center"/>
    </xf>
    <xf numFmtId="0" fontId="24" fillId="0" borderId="5" xfId="0" applyFont="1" applyBorder="1" applyAlignment="1">
      <alignment vertical="center"/>
    </xf>
    <xf numFmtId="0" fontId="21" fillId="3" borderId="1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21" fillId="3" borderId="3" xfId="0" applyFont="1" applyFill="1" applyBorder="1" applyAlignment="1">
      <alignment horizontal="center" vertical="center"/>
    </xf>
    <xf numFmtId="9" fontId="21" fillId="3" borderId="3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3" fontId="23" fillId="0" borderId="3" xfId="0" applyNumberFormat="1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21" fillId="0" borderId="3" xfId="0" applyFont="1" applyBorder="1" applyAlignment="1">
      <alignment horizontal="right" vertical="center"/>
    </xf>
    <xf numFmtId="0" fontId="21" fillId="2" borderId="6" xfId="0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0" fontId="21" fillId="2" borderId="8" xfId="0" applyFont="1" applyFill="1" applyBorder="1" applyAlignment="1">
      <alignment horizontal="right" vertical="center"/>
    </xf>
    <xf numFmtId="164" fontId="21" fillId="0" borderId="3" xfId="0" applyNumberFormat="1" applyFont="1" applyBorder="1" applyAlignment="1">
      <alignment horizontal="right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right" vertical="center"/>
    </xf>
    <xf numFmtId="9" fontId="21" fillId="0" borderId="0" xfId="0" applyNumberFormat="1" applyFont="1"/>
    <xf numFmtId="165" fontId="21" fillId="0" borderId="0" xfId="1" applyNumberFormat="1" applyFont="1"/>
    <xf numFmtId="3" fontId="21" fillId="0" borderId="0" xfId="0" applyNumberFormat="1" applyFont="1"/>
    <xf numFmtId="9" fontId="21" fillId="0" borderId="0" xfId="1" applyFont="1"/>
    <xf numFmtId="0" fontId="21" fillId="0" borderId="19" xfId="0" applyFont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3" fontId="21" fillId="0" borderId="20" xfId="0" applyNumberFormat="1" applyFont="1" applyBorder="1" applyAlignment="1">
      <alignment horizontal="left" vertical="center" indent="1"/>
    </xf>
    <xf numFmtId="9" fontId="21" fillId="0" borderId="20" xfId="1" applyFont="1" applyBorder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3" fontId="21" fillId="0" borderId="0" xfId="0" applyNumberFormat="1" applyFont="1" applyAlignment="1">
      <alignment horizontal="left" vertical="center" indent="1"/>
    </xf>
    <xf numFmtId="9" fontId="21" fillId="0" borderId="0" xfId="1" applyFont="1" applyBorder="1" applyAlignment="1">
      <alignment horizontal="left" vertical="center" indent="1"/>
    </xf>
    <xf numFmtId="9" fontId="21" fillId="0" borderId="0" xfId="1" applyFont="1" applyAlignment="1">
      <alignment horizontal="left" vertical="center" indent="1"/>
    </xf>
    <xf numFmtId="1" fontId="21" fillId="6" borderId="21" xfId="0" applyNumberFormat="1" applyFont="1" applyFill="1" applyBorder="1" applyAlignment="1">
      <alignment horizontal="left" vertical="center" indent="1"/>
    </xf>
    <xf numFmtId="3" fontId="21" fillId="6" borderId="21" xfId="0" applyNumberFormat="1" applyFont="1" applyFill="1" applyBorder="1" applyAlignment="1">
      <alignment horizontal="left" vertical="center" indent="1"/>
    </xf>
    <xf numFmtId="9" fontId="21" fillId="6" borderId="21" xfId="1" applyFont="1" applyFill="1" applyBorder="1" applyAlignment="1">
      <alignment horizontal="left" vertical="center" indent="1"/>
    </xf>
    <xf numFmtId="165" fontId="23" fillId="0" borderId="3" xfId="0" applyNumberFormat="1" applyFont="1" applyBorder="1" applyAlignment="1">
      <alignment horizontal="right" vertical="center"/>
    </xf>
    <xf numFmtId="2" fontId="23" fillId="0" borderId="3" xfId="0" applyNumberFormat="1" applyFont="1" applyBorder="1" applyAlignment="1">
      <alignment horizontal="right" vertical="center"/>
    </xf>
    <xf numFmtId="9" fontId="25" fillId="0" borderId="3" xfId="0" applyNumberFormat="1" applyFont="1" applyBorder="1" applyAlignment="1">
      <alignment horizontal="right" vertical="center"/>
    </xf>
    <xf numFmtId="167" fontId="25" fillId="0" borderId="3" xfId="2" applyNumberFormat="1" applyFont="1" applyBorder="1" applyAlignment="1">
      <alignment horizontal="right" vertical="center"/>
    </xf>
    <xf numFmtId="167" fontId="21" fillId="0" borderId="0" xfId="0" applyNumberFormat="1" applyFont="1"/>
    <xf numFmtId="3" fontId="26" fillId="5" borderId="12" xfId="0" applyNumberFormat="1" applyFont="1" applyFill="1" applyBorder="1" applyAlignment="1">
      <alignment vertical="center"/>
    </xf>
    <xf numFmtId="1" fontId="26" fillId="5" borderId="16" xfId="0" applyNumberFormat="1" applyFont="1" applyFill="1" applyBorder="1" applyAlignment="1">
      <alignment horizontal="right" vertical="center"/>
    </xf>
    <xf numFmtId="1" fontId="26" fillId="5" borderId="12" xfId="0" applyNumberFormat="1" applyFont="1" applyFill="1" applyBorder="1" applyAlignment="1">
      <alignment horizontal="right" vertical="center"/>
    </xf>
    <xf numFmtId="1" fontId="26" fillId="5" borderId="1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167" fontId="25" fillId="0" borderId="3" xfId="2" applyNumberFormat="1" applyFont="1" applyBorder="1" applyAlignment="1">
      <alignment horizontal="left" vertical="center"/>
    </xf>
    <xf numFmtId="168" fontId="25" fillId="0" borderId="3" xfId="2" applyNumberFormat="1" applyFont="1" applyBorder="1" applyAlignment="1">
      <alignment horizontal="left" vertical="center"/>
    </xf>
    <xf numFmtId="168" fontId="25" fillId="0" borderId="3" xfId="2" applyNumberFormat="1" applyFont="1" applyBorder="1" applyAlignment="1">
      <alignment horizontal="right" vertical="center"/>
    </xf>
    <xf numFmtId="167" fontId="23" fillId="0" borderId="3" xfId="2" applyNumberFormat="1" applyFont="1" applyBorder="1" applyAlignment="1">
      <alignment horizontal="right" vertical="center"/>
    </xf>
    <xf numFmtId="168" fontId="23" fillId="0" borderId="3" xfId="2" applyNumberFormat="1" applyFont="1" applyBorder="1" applyAlignment="1">
      <alignment horizontal="right" vertical="center"/>
    </xf>
    <xf numFmtId="1" fontId="21" fillId="0" borderId="0" xfId="0" applyNumberFormat="1" applyFont="1"/>
    <xf numFmtId="43" fontId="25" fillId="0" borderId="3" xfId="2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19" fillId="0" borderId="0" xfId="0" applyFont="1" applyAlignment="1">
      <alignment horizontal="center" vertical="center" textRotation="90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ru-RU" sz="1400" b="0" i="0">
                <a:solidFill>
                  <a:srgbClr val="757575"/>
                </a:solidFill>
                <a:latin typeface="+mn-lt"/>
              </a:rPr>
              <a:t>Прибыль и денежные средства</a:t>
            </a:r>
          </a:p>
        </c:rich>
      </c:tx>
      <c:layout>
        <c:manualLayout>
          <c:xMode val="edge"/>
          <c:yMode val="edge"/>
          <c:x val="1.2620462046204621E-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357239128892668E-2"/>
          <c:y val="0.18452309622913296"/>
          <c:w val="0.9020928620928621"/>
          <c:h val="0.69738116068824729"/>
        </c:manualLayout>
      </c:layout>
      <c:barChart>
        <c:barDir val="col"/>
        <c:grouping val="clustered"/>
        <c:varyColors val="1"/>
        <c:ser>
          <c:idx val="0"/>
          <c:order val="0"/>
          <c:tx>
            <c:v>Накопленная прибыль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Итоги!$C$46:$H$46</c:f>
              <c:numCache>
                <c:formatCode>#,##0</c:formatCode>
                <c:ptCount val="6"/>
                <c:pt idx="0">
                  <c:v>215.27699999999999</c:v>
                </c:pt>
                <c:pt idx="1">
                  <c:v>312.75107280228929</c:v>
                </c:pt>
                <c:pt idx="2">
                  <c:v>398.08126853180505</c:v>
                </c:pt>
                <c:pt idx="3">
                  <c:v>484.42237485550737</c:v>
                </c:pt>
                <c:pt idx="4">
                  <c:v>593.42443209395583</c:v>
                </c:pt>
                <c:pt idx="5">
                  <c:v>696.09922500898699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F4-48B5-973F-8B5F10B84047}"/>
            </c:ext>
          </c:extLst>
        </c:ser>
        <c:ser>
          <c:idx val="1"/>
          <c:order val="1"/>
          <c:tx>
            <c:v>Свободные денежные средства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Итоги!$C$47:$H$47</c:f>
              <c:numCache>
                <c:formatCode>#,##0</c:formatCode>
                <c:ptCount val="6"/>
                <c:pt idx="0">
                  <c:v>39.103999999999999</c:v>
                </c:pt>
                <c:pt idx="1">
                  <c:v>-23.750653887035078</c:v>
                </c:pt>
                <c:pt idx="2">
                  <c:v>-53.681391563298853</c:v>
                </c:pt>
                <c:pt idx="3">
                  <c:v>-75.784528712027651</c:v>
                </c:pt>
                <c:pt idx="4">
                  <c:v>-88.721658874380466</c:v>
                </c:pt>
                <c:pt idx="5">
                  <c:v>-94.022498425512126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F4-48B5-973F-8B5F10B84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728617"/>
        <c:axId val="323926773"/>
      </c:barChart>
      <c:catAx>
        <c:axId val="211728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1" i="0">
                    <a:solidFill>
                      <a:srgbClr val="000000"/>
                    </a:solidFill>
                    <a:latin typeface="+mn-lt"/>
                  </a:rPr>
                  <a:t>в млрд. руб.</a:t>
                </a:r>
              </a:p>
            </c:rich>
          </c:tx>
          <c:layout>
            <c:manualLayout>
              <c:xMode val="edge"/>
              <c:yMode val="edge"/>
              <c:x val="0.11069611101107164"/>
              <c:y val="0.1932914543770264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23926773"/>
        <c:crosses val="autoZero"/>
        <c:auto val="1"/>
        <c:lblAlgn val="ctr"/>
        <c:lblOffset val="100"/>
        <c:noMultiLvlLbl val="1"/>
      </c:catAx>
      <c:valAx>
        <c:axId val="3239267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1172861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1.0853148306956681E-2"/>
          <c:y val="0.10109055799034967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r>
              <a:rPr lang="ru-RU"/>
              <a:t>Структура выручки</a:t>
            </a:r>
          </a:p>
        </c:rich>
      </c:tx>
      <c:layout>
        <c:manualLayout>
          <c:xMode val="edge"/>
          <c:yMode val="edge"/>
          <c:x val="1.9658861810489637E-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xMode val="edge"/>
          <c:yMode val="edge"/>
          <c:x val="7.4121313150237881E-3"/>
          <c:y val="0.2248138151638788"/>
          <c:w val="0.96203219303007448"/>
          <c:h val="0.69994788094197125"/>
        </c:manualLayout>
      </c:layout>
      <c:barChart>
        <c:barDir val="col"/>
        <c:grouping val="stacked"/>
        <c:varyColors val="1"/>
        <c:ser>
          <c:idx val="0"/>
          <c:order val="0"/>
          <c:tx>
            <c:v>EBITDA</c:v>
          </c:tx>
          <c:spPr>
            <a:solidFill>
              <a:srgbClr val="4374A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Итоги!$C$50:$H$50</c:f>
              <c:numCache>
                <c:formatCode>#,##0</c:formatCode>
                <c:ptCount val="6"/>
                <c:pt idx="0">
                  <c:v>345</c:v>
                </c:pt>
                <c:pt idx="1">
                  <c:v>382</c:v>
                </c:pt>
                <c:pt idx="2">
                  <c:v>401</c:v>
                </c:pt>
                <c:pt idx="3">
                  <c:v>412</c:v>
                </c:pt>
                <c:pt idx="4">
                  <c:v>408</c:v>
                </c:pt>
                <c:pt idx="5">
                  <c:v>393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5B8-4FCD-AFC6-81CFDB9418D0}"/>
            </c:ext>
          </c:extLst>
        </c:ser>
        <c:ser>
          <c:idx val="1"/>
          <c:order val="1"/>
          <c:tx>
            <c:v>Управленческие и прочие расходы</c:v>
          </c:tx>
          <c:spPr>
            <a:solidFill>
              <a:srgbClr val="5089BC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Итоги!$C$51:$H$51</c:f>
              <c:numCache>
                <c:formatCode>#,##0</c:formatCode>
                <c:ptCount val="6"/>
                <c:pt idx="0">
                  <c:v>549</c:v>
                </c:pt>
                <c:pt idx="1">
                  <c:v>660</c:v>
                </c:pt>
                <c:pt idx="2">
                  <c:v>773</c:v>
                </c:pt>
                <c:pt idx="3">
                  <c:v>861</c:v>
                </c:pt>
                <c:pt idx="4">
                  <c:v>933</c:v>
                </c:pt>
                <c:pt idx="5">
                  <c:v>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5B8-4FCD-AFC6-81CFDB9418D0}"/>
            </c:ext>
          </c:extLst>
        </c:ser>
        <c:ser>
          <c:idx val="2"/>
          <c:order val="2"/>
          <c:tx>
            <c:v>Персонал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Итоги!$C$52:$H$52</c:f>
              <c:numCache>
                <c:formatCode>#,##0</c:formatCode>
                <c:ptCount val="6"/>
                <c:pt idx="0">
                  <c:v>457</c:v>
                </c:pt>
                <c:pt idx="1">
                  <c:v>565</c:v>
                </c:pt>
                <c:pt idx="2">
                  <c:v>673</c:v>
                </c:pt>
                <c:pt idx="3">
                  <c:v>759</c:v>
                </c:pt>
                <c:pt idx="4">
                  <c:v>832</c:v>
                </c:pt>
                <c:pt idx="5">
                  <c:v>896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5B8-4FCD-AFC6-81CFDB9418D0}"/>
            </c:ext>
          </c:extLst>
        </c:ser>
        <c:ser>
          <c:idx val="3"/>
          <c:order val="3"/>
          <c:tx>
            <c:v>ТМЦ</c:v>
          </c:tx>
          <c:spPr>
            <a:solidFill>
              <a:srgbClr val="97B9E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Итоги!$C$34:$H$34</c:f>
              <c:numCache>
                <c:formatCode>0</c:formatCod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numCache>
            </c:numRef>
          </c:cat>
          <c:val>
            <c:numRef>
              <c:f>Итоги!$C$53:$H$53</c:f>
              <c:numCache>
                <c:formatCode>#,##0</c:formatCode>
                <c:ptCount val="6"/>
                <c:pt idx="0">
                  <c:v>1795</c:v>
                </c:pt>
                <c:pt idx="1">
                  <c:v>2097</c:v>
                </c:pt>
                <c:pt idx="2">
                  <c:v>2412</c:v>
                </c:pt>
                <c:pt idx="3">
                  <c:v>2653</c:v>
                </c:pt>
                <c:pt idx="4">
                  <c:v>2839</c:v>
                </c:pt>
                <c:pt idx="5">
                  <c:v>2980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5B8-4FCD-AFC6-81CFDB94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359385"/>
        <c:axId val="2077294076"/>
      </c:barChart>
      <c:lineChart>
        <c:grouping val="standard"/>
        <c:varyColors val="0"/>
        <c:ser>
          <c:idx val="4"/>
          <c:order val="4"/>
          <c:tx>
            <c:v>Выручка</c:v>
          </c:tx>
          <c:spPr>
            <a:ln w="19050" cap="rnd" cmpd="sng" algn="ctr">
              <a:solidFill>
                <a:schemeClr val="accent1">
                  <a:tint val="54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[1]Итоги!$C$34:$H$34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Итоги!$C$54:$H$54</c:f>
              <c:numCache>
                <c:formatCode>#,##0</c:formatCode>
                <c:ptCount val="6"/>
                <c:pt idx="0">
                  <c:v>3139</c:v>
                </c:pt>
                <c:pt idx="1">
                  <c:v>3703</c:v>
                </c:pt>
                <c:pt idx="2">
                  <c:v>4259</c:v>
                </c:pt>
                <c:pt idx="3">
                  <c:v>4685</c:v>
                </c:pt>
                <c:pt idx="4">
                  <c:v>5013</c:v>
                </c:pt>
                <c:pt idx="5">
                  <c:v>5263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B8-4FCD-AFC6-81CFDB94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59385"/>
        <c:axId val="2077294076"/>
      </c:lineChart>
      <c:catAx>
        <c:axId val="1863593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r>
                  <a:rPr lang="ru-RU"/>
                  <a:t>в млрд руб.</a:t>
                </a:r>
              </a:p>
            </c:rich>
          </c:tx>
          <c:layout>
            <c:manualLayout>
              <c:xMode val="edge"/>
              <c:yMode val="edge"/>
              <c:x val="0.11189942257217848"/>
              <c:y val="0.189048556430446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2077294076"/>
        <c:crosses val="autoZero"/>
        <c:auto val="1"/>
        <c:lblAlgn val="ctr"/>
        <c:lblOffset val="100"/>
        <c:noMultiLvlLbl val="1"/>
      </c:catAx>
      <c:valAx>
        <c:axId val="20772940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Bahnschrift Condensed" panose="020B0502040204020203" pitchFamily="34" charset="0"/>
                    <a:ea typeface="+mn-ea"/>
                    <a:cs typeface="+mn-cs"/>
                  </a:defRPr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Bahnschrift Condensed" panose="020B0502040204020203" pitchFamily="34" charset="0"/>
                <a:ea typeface="+mn-ea"/>
                <a:cs typeface="+mn-cs"/>
              </a:defRPr>
            </a:pPr>
            <a:endParaRPr lang="ru-RU"/>
          </a:p>
        </c:txPr>
        <c:crossAx val="18635938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314666666666668"/>
          <c:y val="8.1712253073628949E-2"/>
          <c:w val="0.53151999999999999"/>
          <c:h val="0.27118041165906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Bahnschrift Condensed" panose="020B0502040204020203" pitchFamily="34" charset="0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latin typeface="Bahnschrift Condensed" panose="020B0502040204020203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438150</xdr:colOff>
      <xdr:row>20</xdr:row>
      <xdr:rowOff>19049</xdr:rowOff>
    </xdr:from>
    <xdr:ext cx="4581525" cy="38726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33BF2-5231-47FC-8956-6E8CE1535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390525</xdr:colOff>
      <xdr:row>6</xdr:row>
      <xdr:rowOff>28575</xdr:rowOff>
    </xdr:from>
    <xdr:ext cx="4762500" cy="28956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9EF0F7-E6E4-4EDD-B6D0-0B53BE55A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438150</xdr:colOff>
      <xdr:row>20</xdr:row>
      <xdr:rowOff>19049</xdr:rowOff>
    </xdr:from>
    <xdr:ext cx="4581525" cy="3853822"/>
    <xdr:grpSp>
      <xdr:nvGrpSpPr>
        <xdr:cNvPr id="4" name="Shape 2">
          <a:extLst>
            <a:ext uri="{FF2B5EF4-FFF2-40B4-BE49-F238E27FC236}">
              <a16:creationId xmlns:a16="http://schemas.microsoft.com/office/drawing/2014/main" id="{EF19D5A2-0D9F-4E09-AB07-38DE44FCA32D}"/>
            </a:ext>
          </a:extLst>
        </xdr:cNvPr>
        <xdr:cNvGrpSpPr/>
      </xdr:nvGrpSpPr>
      <xdr:grpSpPr>
        <a:xfrm>
          <a:off x="9161382" y="4714201"/>
          <a:ext cx="4581525" cy="3853822"/>
          <a:chOff x="3055239" y="2365537"/>
          <a:chExt cx="4581525" cy="3512763"/>
        </a:xfrm>
      </xdr:grpSpPr>
      <xdr:grpSp>
        <xdr:nvGrpSpPr>
          <xdr:cNvPr id="5" name="Shape 8">
            <a:extLst>
              <a:ext uri="{FF2B5EF4-FFF2-40B4-BE49-F238E27FC236}">
                <a16:creationId xmlns:a16="http://schemas.microsoft.com/office/drawing/2014/main" id="{0F71DD23-D027-E582-82F7-6D67595E09DA}"/>
              </a:ext>
            </a:extLst>
          </xdr:cNvPr>
          <xdr:cNvGrpSpPr/>
        </xdr:nvGrpSpPr>
        <xdr:grpSpPr>
          <a:xfrm>
            <a:off x="3055239" y="2365537"/>
            <a:ext cx="4581525" cy="3512763"/>
            <a:chOff x="7429500" y="6477000"/>
            <a:chExt cx="4295775" cy="2868165"/>
          </a:xfrm>
        </xdr:grpSpPr>
        <xdr:sp macro="" textlink="">
          <xdr:nvSpPr>
            <xdr:cNvPr id="6" name="Shape 4">
              <a:extLst>
                <a:ext uri="{FF2B5EF4-FFF2-40B4-BE49-F238E27FC236}">
                  <a16:creationId xmlns:a16="http://schemas.microsoft.com/office/drawing/2014/main" id="{5350A31C-655F-5095-CA3C-7805E04882BE}"/>
                </a:ext>
              </a:extLst>
            </xdr:cNvPr>
            <xdr:cNvSpPr/>
          </xdr:nvSpPr>
          <xdr:spPr>
            <a:xfrm>
              <a:off x="7429500" y="6477000"/>
              <a:ext cx="4295775" cy="2309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" name="Shape 9">
              <a:extLst>
                <a:ext uri="{FF2B5EF4-FFF2-40B4-BE49-F238E27FC236}">
                  <a16:creationId xmlns:a16="http://schemas.microsoft.com/office/drawing/2014/main" id="{387830EE-E3EC-A27A-02BE-62AE12F6384A}"/>
                </a:ext>
              </a:extLst>
            </xdr:cNvPr>
            <xdr:cNvCxnSpPr/>
          </xdr:nvCxnSpPr>
          <xdr:spPr>
            <a:xfrm>
              <a:off x="8143875" y="7458075"/>
              <a:ext cx="0" cy="1192349"/>
            </a:xfrm>
            <a:prstGeom prst="straightConnector1">
              <a:avLst/>
            </a:prstGeom>
            <a:noFill/>
            <a:ln w="9525" cap="flat" cmpd="sng">
              <a:solidFill>
                <a:srgbClr val="A5A5A5"/>
              </a:solidFill>
              <a:prstDash val="dash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8" name="Shape 10">
              <a:extLst>
                <a:ext uri="{FF2B5EF4-FFF2-40B4-BE49-F238E27FC236}">
                  <a16:creationId xmlns:a16="http://schemas.microsoft.com/office/drawing/2014/main" id="{A6534B7E-92EF-96CC-ECA6-6F19309EBF60}"/>
                </a:ext>
              </a:extLst>
            </xdr:cNvPr>
            <xdr:cNvSpPr txBox="1"/>
          </xdr:nvSpPr>
          <xdr:spPr>
            <a:xfrm>
              <a:off x="7780770" y="9013085"/>
              <a:ext cx="552450" cy="190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7F7F7F"/>
                  </a:solidFill>
                  <a:latin typeface="Calibri"/>
                  <a:ea typeface="Calibri"/>
                  <a:cs typeface="Calibri"/>
                  <a:sym typeface="Calibri"/>
                </a:rPr>
                <a:t>Факт</a:t>
              </a:r>
              <a:endParaRPr sz="1400"/>
            </a:p>
          </xdr:txBody>
        </xdr:sp>
        <xdr:sp macro="" textlink="">
          <xdr:nvSpPr>
            <xdr:cNvPr id="9" name="Shape 11">
              <a:extLst>
                <a:ext uri="{FF2B5EF4-FFF2-40B4-BE49-F238E27FC236}">
                  <a16:creationId xmlns:a16="http://schemas.microsoft.com/office/drawing/2014/main" id="{B31B6951-B40A-6316-949D-51D595931F68}"/>
                </a:ext>
              </a:extLst>
            </xdr:cNvPr>
            <xdr:cNvSpPr txBox="1"/>
          </xdr:nvSpPr>
          <xdr:spPr>
            <a:xfrm>
              <a:off x="8174620" y="9154665"/>
              <a:ext cx="552450" cy="1905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7F7F7F"/>
                  </a:solidFill>
                  <a:latin typeface="Calibri"/>
                  <a:ea typeface="Calibri"/>
                  <a:cs typeface="Calibri"/>
                  <a:sym typeface="Calibri"/>
                </a:rPr>
                <a:t>План</a:t>
              </a:r>
              <a:endParaRPr sz="1400"/>
            </a:p>
          </xdr:txBody>
        </xdr:sp>
        <xdr:cxnSp macro="">
          <xdr:nvCxnSpPr>
            <xdr:cNvPr id="10" name="Shape 12">
              <a:extLst>
                <a:ext uri="{FF2B5EF4-FFF2-40B4-BE49-F238E27FC236}">
                  <a16:creationId xmlns:a16="http://schemas.microsoft.com/office/drawing/2014/main" id="{EA8A0266-54F5-82B4-203E-9F7E741609EB}"/>
                </a:ext>
              </a:extLst>
            </xdr:cNvPr>
            <xdr:cNvCxnSpPr/>
          </xdr:nvCxnSpPr>
          <xdr:spPr>
            <a:xfrm>
              <a:off x="7505700" y="8448675"/>
              <a:ext cx="4133850" cy="0"/>
            </a:xfrm>
            <a:prstGeom prst="straightConnector1">
              <a:avLst/>
            </a:prstGeom>
            <a:noFill/>
            <a:ln w="9525" cap="flat" cmpd="sng">
              <a:solidFill>
                <a:srgbClr val="A5A5A5"/>
              </a:solidFill>
              <a:prstDash val="dash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9</xdr:row>
      <xdr:rowOff>167365</xdr:rowOff>
    </xdr:from>
    <xdr:to>
      <xdr:col>10</xdr:col>
      <xdr:colOff>189977</xdr:colOff>
      <xdr:row>18</xdr:row>
      <xdr:rowOff>3175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2FE1D37-9E56-7C3D-4A8F-F8F874EB2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6350" y="618215"/>
          <a:ext cx="3279775" cy="1436010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2</xdr:row>
      <xdr:rowOff>113695</xdr:rowOff>
    </xdr:from>
    <xdr:to>
      <xdr:col>12</xdr:col>
      <xdr:colOff>206374</xdr:colOff>
      <xdr:row>9</xdr:row>
      <xdr:rowOff>57148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12E961-BDE9-2BA0-B7FC-B45C72779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13650" y="564545"/>
          <a:ext cx="3660775" cy="12642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\Desktop\My%20files\&#1040;&#1085;&#1072;&#1083;&#1080;&#1090;&#1080;&#1082;&#1072;\Skillbox\5_&#1060;&#1080;&#1085;&#1072;&#1085;&#1089;&#1086;&#1074;&#1099;&#1081;_&#1072;&#1085;&#1072;&#1083;&#1080;&#1079;_2_0\&#1060;&#1080;&#1085;&#1072;&#1085;&#1089;&#1086;&#1074;&#1072;&#1103;%20&#1084;&#1086;&#1076;&#1077;&#1083;&#1100;%20&#1043;&#1050;%20_&#1050;&#1040;&#1052;&#1040;&#1047;_.xlsx" TargetMode="External"/><Relationship Id="rId1" Type="http://schemas.openxmlformats.org/officeDocument/2006/relationships/externalLinkPath" Target="&#1060;&#1080;&#1085;&#1072;&#1085;&#1089;&#1086;&#1074;&#1072;&#1103;%20&#1084;&#1086;&#1076;&#1077;&#1083;&#1100;%20&#1043;&#1050;%20_&#1050;&#1040;&#1052;&#1040;&#1047;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опущения"/>
      <sheetName val="Расчет"/>
      <sheetName val="Итоги"/>
      <sheetName val="Плохие примеры"/>
    </sheetNames>
    <sheetDataSet>
      <sheetData sheetId="0">
        <row r="5">
          <cell r="F5">
            <v>0.09</v>
          </cell>
        </row>
      </sheetData>
      <sheetData sheetId="1">
        <row r="84">
          <cell r="E84">
            <v>213341</v>
          </cell>
        </row>
      </sheetData>
      <sheetData sheetId="2">
        <row r="34">
          <cell r="C34">
            <v>2020</v>
          </cell>
          <cell r="D34">
            <v>2021</v>
          </cell>
          <cell r="E34">
            <v>2022</v>
          </cell>
          <cell r="F34">
            <v>2023</v>
          </cell>
          <cell r="G34">
            <v>2024</v>
          </cell>
          <cell r="H34">
            <v>2025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X998"/>
  <sheetViews>
    <sheetView showGridLines="0" topLeftCell="A3" zoomScale="95" zoomScaleNormal="100" workbookViewId="0">
      <selection activeCell="Q30" sqref="Q30"/>
    </sheetView>
  </sheetViews>
  <sheetFormatPr defaultColWidth="14.453125" defaultRowHeight="15" customHeight="1" x14ac:dyDescent="0.3"/>
  <cols>
    <col min="1" max="1" width="3.26953125" style="94" customWidth="1"/>
    <col min="2" max="2" width="33.26953125" style="94" customWidth="1"/>
    <col min="3" max="12" width="10.7265625" style="94" customWidth="1"/>
    <col min="13" max="13" width="14.453125" style="94"/>
    <col min="14" max="24" width="10.7265625" style="94" customWidth="1"/>
    <col min="25" max="28" width="8.7265625" style="94" customWidth="1"/>
    <col min="29" max="16384" width="14.453125" style="94"/>
  </cols>
  <sheetData>
    <row r="1" spans="2:24" ht="15.75" customHeight="1" x14ac:dyDescent="0.3"/>
    <row r="2" spans="2:24" ht="19.5" customHeight="1" x14ac:dyDescent="0.3">
      <c r="B2" s="95" t="s">
        <v>0</v>
      </c>
      <c r="C2" s="96"/>
      <c r="D2" s="96"/>
      <c r="E2" s="96"/>
      <c r="F2" s="96"/>
      <c r="G2" s="96"/>
      <c r="H2" s="96"/>
      <c r="I2" s="96"/>
      <c r="J2" s="96"/>
      <c r="L2" s="96"/>
      <c r="N2" s="95" t="s">
        <v>1</v>
      </c>
      <c r="Q2" s="97"/>
      <c r="S2" s="95" t="s">
        <v>2</v>
      </c>
    </row>
    <row r="3" spans="2:24" ht="15.75" customHeight="1" x14ac:dyDescent="0.3">
      <c r="B3" s="96"/>
      <c r="C3" s="96"/>
      <c r="D3" s="96"/>
      <c r="E3" s="96"/>
      <c r="F3" s="96"/>
      <c r="G3" s="96"/>
      <c r="H3" s="96"/>
      <c r="I3" s="96"/>
      <c r="J3" s="96"/>
      <c r="L3" s="96"/>
      <c r="Q3" s="97"/>
    </row>
    <row r="4" spans="2:24" ht="19.5" customHeight="1" x14ac:dyDescent="0.3">
      <c r="B4" s="98" t="s">
        <v>3</v>
      </c>
      <c r="C4" s="99"/>
      <c r="D4" s="100" t="s">
        <v>4</v>
      </c>
      <c r="E4" s="101">
        <v>2023</v>
      </c>
      <c r="F4" s="101">
        <v>2024</v>
      </c>
      <c r="G4" s="101">
        <v>2025</v>
      </c>
      <c r="H4" s="101">
        <v>2026</v>
      </c>
      <c r="I4" s="101">
        <v>2027</v>
      </c>
      <c r="J4" s="101">
        <v>2028</v>
      </c>
      <c r="L4" s="101">
        <v>2029</v>
      </c>
      <c r="N4" s="98" t="s">
        <v>3</v>
      </c>
      <c r="O4" s="99"/>
      <c r="P4" s="100" t="s">
        <v>4</v>
      </c>
      <c r="Q4" s="101" t="s">
        <v>5</v>
      </c>
      <c r="S4" s="98" t="s">
        <v>6</v>
      </c>
      <c r="T4" s="102"/>
      <c r="U4" s="102"/>
      <c r="V4" s="99"/>
      <c r="W4" s="100" t="s">
        <v>4</v>
      </c>
      <c r="X4" s="103" t="s">
        <v>5</v>
      </c>
    </row>
    <row r="5" spans="2:24" ht="15.75" customHeight="1" x14ac:dyDescent="0.3">
      <c r="B5" s="104" t="s">
        <v>7</v>
      </c>
      <c r="C5" s="105"/>
      <c r="D5" s="106" t="s">
        <v>8</v>
      </c>
      <c r="E5" s="107">
        <v>0.2</v>
      </c>
      <c r="F5" s="108">
        <v>0.18</v>
      </c>
      <c r="G5" s="108">
        <v>0.15</v>
      </c>
      <c r="H5" s="108">
        <v>0.1</v>
      </c>
      <c r="I5" s="108">
        <v>7.0000000000000007E-2</v>
      </c>
      <c r="J5" s="108">
        <v>0.05</v>
      </c>
      <c r="L5" s="108">
        <v>0.03</v>
      </c>
      <c r="N5" s="104" t="s">
        <v>9</v>
      </c>
      <c r="O5" s="105"/>
      <c r="P5" s="106" t="s">
        <v>8</v>
      </c>
      <c r="Q5" s="107">
        <v>0.755</v>
      </c>
      <c r="S5" s="104" t="s">
        <v>10</v>
      </c>
      <c r="T5" s="109"/>
      <c r="U5" s="109"/>
      <c r="V5" s="105"/>
      <c r="W5" s="106" t="s">
        <v>11</v>
      </c>
      <c r="X5" s="110">
        <v>1000</v>
      </c>
    </row>
    <row r="6" spans="2:24" ht="15.75" customHeight="1" x14ac:dyDescent="0.3">
      <c r="B6" s="104" t="s">
        <v>12</v>
      </c>
      <c r="C6" s="109"/>
      <c r="D6" s="106" t="s">
        <v>8</v>
      </c>
      <c r="E6" s="107">
        <v>0.24</v>
      </c>
      <c r="F6" s="108">
        <v>0.25</v>
      </c>
      <c r="G6" s="108">
        <v>0.25</v>
      </c>
      <c r="H6" s="108">
        <v>0.25</v>
      </c>
      <c r="I6" s="108">
        <v>0.25</v>
      </c>
      <c r="J6" s="108">
        <v>0.25</v>
      </c>
      <c r="L6" s="108">
        <v>0.25</v>
      </c>
      <c r="N6" s="104" t="s">
        <v>13</v>
      </c>
      <c r="O6" s="105"/>
      <c r="P6" s="106" t="s">
        <v>8</v>
      </c>
      <c r="Q6" s="107">
        <v>0.08</v>
      </c>
      <c r="S6" s="104" t="s">
        <v>14</v>
      </c>
      <c r="T6" s="109"/>
      <c r="U6" s="109"/>
      <c r="V6" s="105"/>
      <c r="W6" s="106" t="s">
        <v>15</v>
      </c>
      <c r="X6" s="110">
        <v>2</v>
      </c>
    </row>
    <row r="7" spans="2:24" ht="15.75" customHeight="1" x14ac:dyDescent="0.3">
      <c r="B7" s="104" t="s">
        <v>44</v>
      </c>
      <c r="C7" s="109"/>
      <c r="D7" s="106" t="s">
        <v>8</v>
      </c>
      <c r="E7" s="107">
        <v>0.04</v>
      </c>
      <c r="F7" s="108">
        <v>0.05</v>
      </c>
      <c r="G7" s="108">
        <v>0.06</v>
      </c>
      <c r="H7" s="108">
        <v>0.08</v>
      </c>
      <c r="I7" s="108">
        <v>0.1</v>
      </c>
      <c r="J7" s="108">
        <v>0.12</v>
      </c>
      <c r="L7" s="108">
        <v>0.12</v>
      </c>
      <c r="N7" s="104" t="s">
        <v>16</v>
      </c>
      <c r="O7" s="105"/>
      <c r="P7" s="106" t="s">
        <v>8</v>
      </c>
      <c r="Q7" s="107">
        <f>1-Q5-Q6</f>
        <v>0.16499999999999998</v>
      </c>
      <c r="S7" s="104" t="s">
        <v>173</v>
      </c>
      <c r="T7" s="109"/>
      <c r="U7" s="109"/>
      <c r="V7" s="105"/>
      <c r="W7" s="106" t="s">
        <v>8</v>
      </c>
      <c r="X7" s="108">
        <v>0.6</v>
      </c>
    </row>
    <row r="8" spans="2:24" ht="15.75" customHeight="1" x14ac:dyDescent="0.3">
      <c r="B8" s="111" t="s">
        <v>17</v>
      </c>
      <c r="N8" s="112" t="s">
        <v>18</v>
      </c>
      <c r="O8" s="113"/>
      <c r="P8" s="114" t="s">
        <v>8</v>
      </c>
      <c r="Q8" s="115">
        <f>SUM(Q5:Q7)</f>
        <v>1</v>
      </c>
    </row>
    <row r="9" spans="2:24" ht="15.75" customHeight="1" x14ac:dyDescent="0.3">
      <c r="N9" s="111" t="s">
        <v>17</v>
      </c>
    </row>
    <row r="10" spans="2:24" ht="15.75" customHeight="1" x14ac:dyDescent="0.3">
      <c r="N10" s="116"/>
    </row>
    <row r="11" spans="2:24" ht="19.5" customHeight="1" x14ac:dyDescent="0.3">
      <c r="B11" s="95" t="s">
        <v>19</v>
      </c>
    </row>
    <row r="12" spans="2:24" ht="15.75" customHeight="1" x14ac:dyDescent="0.3">
      <c r="N12" s="95"/>
    </row>
    <row r="13" spans="2:24" ht="19.5" customHeight="1" x14ac:dyDescent="0.3">
      <c r="B13" s="98" t="s">
        <v>3</v>
      </c>
      <c r="C13" s="99"/>
      <c r="D13" s="100" t="s">
        <v>4</v>
      </c>
      <c r="E13" s="101">
        <v>2023</v>
      </c>
      <c r="F13" s="101">
        <v>2024</v>
      </c>
      <c r="G13" s="101">
        <v>2025</v>
      </c>
      <c r="H13" s="101">
        <v>2026</v>
      </c>
      <c r="I13" s="101">
        <v>2027</v>
      </c>
      <c r="J13" s="101">
        <v>2028</v>
      </c>
      <c r="L13" s="101">
        <v>2029</v>
      </c>
    </row>
    <row r="14" spans="2:24" ht="15.75" customHeight="1" x14ac:dyDescent="0.3">
      <c r="B14" s="104" t="s">
        <v>145</v>
      </c>
      <c r="C14" s="105"/>
      <c r="D14" s="106" t="s">
        <v>11</v>
      </c>
      <c r="E14" s="117">
        <v>130325</v>
      </c>
      <c r="F14" s="110">
        <v>120000</v>
      </c>
      <c r="G14" s="110">
        <v>110000</v>
      </c>
      <c r="H14" s="110">
        <v>100000</v>
      </c>
      <c r="I14" s="110">
        <v>80000</v>
      </c>
      <c r="J14" s="110">
        <v>60000</v>
      </c>
      <c r="L14" s="110">
        <v>40000</v>
      </c>
    </row>
    <row r="15" spans="2:24" ht="15.75" customHeight="1" x14ac:dyDescent="0.3"/>
    <row r="16" spans="2:24" ht="15.75" customHeight="1" x14ac:dyDescent="0.3"/>
    <row r="17" spans="2:17" ht="20.25" customHeight="1" x14ac:dyDescent="0.3">
      <c r="B17" s="95" t="s">
        <v>21</v>
      </c>
    </row>
    <row r="18" spans="2:17" ht="15.75" customHeight="1" x14ac:dyDescent="0.3"/>
    <row r="19" spans="2:17" ht="19.5" customHeight="1" x14ac:dyDescent="0.3">
      <c r="B19" s="98" t="s">
        <v>3</v>
      </c>
      <c r="C19" s="99"/>
      <c r="D19" s="100" t="s">
        <v>4</v>
      </c>
      <c r="E19" s="101">
        <v>2023</v>
      </c>
      <c r="F19" s="101">
        <v>2024</v>
      </c>
      <c r="G19" s="101">
        <v>2025</v>
      </c>
      <c r="H19" s="101">
        <v>2026</v>
      </c>
      <c r="I19" s="101">
        <v>2027</v>
      </c>
      <c r="J19" s="101">
        <v>2028</v>
      </c>
      <c r="L19" s="101">
        <v>2029</v>
      </c>
    </row>
    <row r="20" spans="2:17" ht="15.75" customHeight="1" x14ac:dyDescent="0.3">
      <c r="B20" s="104" t="s">
        <v>22</v>
      </c>
      <c r="C20" s="105"/>
      <c r="D20" s="106" t="s">
        <v>8</v>
      </c>
      <c r="E20" s="107"/>
      <c r="F20" s="108">
        <v>0.09</v>
      </c>
      <c r="G20" s="108">
        <v>0.06</v>
      </c>
      <c r="H20" s="108">
        <v>0.04</v>
      </c>
      <c r="I20" s="108">
        <v>0.04</v>
      </c>
      <c r="J20" s="108">
        <v>0.04</v>
      </c>
      <c r="L20" s="108">
        <v>0.04</v>
      </c>
    </row>
    <row r="21" spans="2:17" ht="15.75" customHeight="1" x14ac:dyDescent="0.3">
      <c r="B21" s="104" t="s">
        <v>23</v>
      </c>
      <c r="C21" s="109"/>
      <c r="D21" s="106" t="s">
        <v>8</v>
      </c>
      <c r="E21" s="107"/>
      <c r="F21" s="108">
        <v>0.15</v>
      </c>
      <c r="G21" s="108">
        <v>0.14000000000000001</v>
      </c>
      <c r="H21" s="108">
        <v>0.12</v>
      </c>
      <c r="I21" s="108">
        <v>0.1</v>
      </c>
      <c r="J21" s="108">
        <v>0.05</v>
      </c>
      <c r="L21" s="108">
        <v>0.05</v>
      </c>
    </row>
    <row r="22" spans="2:17" ht="15.75" customHeight="1" x14ac:dyDescent="0.3">
      <c r="B22" s="104" t="s">
        <v>24</v>
      </c>
      <c r="C22" s="109"/>
      <c r="D22" s="106" t="s">
        <v>8</v>
      </c>
      <c r="E22" s="107">
        <v>0.15</v>
      </c>
      <c r="F22" s="108">
        <v>0.2</v>
      </c>
      <c r="G22" s="108">
        <v>0.19</v>
      </c>
      <c r="H22" s="108">
        <v>0.15</v>
      </c>
      <c r="I22" s="108">
        <v>0.1</v>
      </c>
      <c r="J22" s="108">
        <v>0.08</v>
      </c>
      <c r="L22" s="108">
        <v>0.08</v>
      </c>
    </row>
    <row r="23" spans="2:17" ht="15.75" customHeight="1" x14ac:dyDescent="0.3">
      <c r="B23" s="104" t="s">
        <v>25</v>
      </c>
      <c r="C23" s="109"/>
      <c r="D23" s="106"/>
      <c r="E23" s="107">
        <v>0.2</v>
      </c>
      <c r="F23" s="108">
        <v>0.2</v>
      </c>
      <c r="G23" s="108">
        <v>0.2</v>
      </c>
      <c r="H23" s="108">
        <v>0.2</v>
      </c>
      <c r="I23" s="108">
        <v>0.2</v>
      </c>
      <c r="J23" s="108">
        <v>0.2</v>
      </c>
      <c r="L23" s="108">
        <v>0.2</v>
      </c>
    </row>
    <row r="24" spans="2:17" ht="15.75" customHeight="1" x14ac:dyDescent="0.3">
      <c r="B24" s="104" t="s">
        <v>144</v>
      </c>
      <c r="C24" s="109"/>
      <c r="D24" s="106"/>
      <c r="E24" s="118">
        <v>85</v>
      </c>
      <c r="F24" s="119">
        <v>92</v>
      </c>
      <c r="G24" s="119">
        <v>83</v>
      </c>
      <c r="H24" s="119">
        <v>92</v>
      </c>
      <c r="I24" s="119">
        <v>96</v>
      </c>
      <c r="J24" s="119">
        <v>100</v>
      </c>
      <c r="L24" s="119">
        <v>110</v>
      </c>
    </row>
    <row r="25" spans="2:17" ht="15.75" customHeight="1" x14ac:dyDescent="0.3"/>
    <row r="26" spans="2:17" ht="15.75" customHeight="1" x14ac:dyDescent="0.3"/>
    <row r="27" spans="2:17" ht="19.5" customHeight="1" x14ac:dyDescent="0.3">
      <c r="B27" s="95" t="s">
        <v>171</v>
      </c>
      <c r="N27" s="95" t="s">
        <v>172</v>
      </c>
    </row>
    <row r="28" spans="2:17" ht="15.75" customHeight="1" x14ac:dyDescent="0.3"/>
    <row r="29" spans="2:17" ht="15.75" customHeight="1" x14ac:dyDescent="0.3">
      <c r="B29" s="98" t="s">
        <v>6</v>
      </c>
      <c r="C29" s="99"/>
      <c r="D29" s="100" t="s">
        <v>4</v>
      </c>
      <c r="E29" s="101">
        <v>0</v>
      </c>
      <c r="F29" s="101">
        <v>1</v>
      </c>
      <c r="G29" s="101">
        <v>2</v>
      </c>
      <c r="H29" s="101">
        <v>3</v>
      </c>
      <c r="I29" s="101">
        <v>4</v>
      </c>
      <c r="J29" s="101">
        <v>5</v>
      </c>
      <c r="L29" s="101">
        <v>6</v>
      </c>
      <c r="N29" s="120" t="s">
        <v>26</v>
      </c>
      <c r="O29" s="121"/>
      <c r="P29" s="121"/>
      <c r="Q29" s="122">
        <v>1</v>
      </c>
    </row>
    <row r="30" spans="2:17" ht="15.75" customHeight="1" x14ac:dyDescent="0.3">
      <c r="B30" s="104" t="s">
        <v>159</v>
      </c>
      <c r="C30" s="105"/>
      <c r="D30" s="106" t="s">
        <v>11</v>
      </c>
      <c r="E30" s="123">
        <v>1</v>
      </c>
      <c r="F30" s="123">
        <v>1</v>
      </c>
      <c r="G30" s="123">
        <v>1</v>
      </c>
      <c r="H30" s="123">
        <v>1</v>
      </c>
      <c r="I30" s="123">
        <v>1</v>
      </c>
      <c r="J30" s="123">
        <v>1</v>
      </c>
      <c r="L30" s="123">
        <v>1</v>
      </c>
      <c r="N30" s="124"/>
      <c r="O30" s="125"/>
      <c r="P30" s="125"/>
      <c r="Q30" s="126"/>
    </row>
    <row r="31" spans="2:17" ht="15.75" customHeight="1" x14ac:dyDescent="0.3">
      <c r="B31" s="104" t="s">
        <v>160</v>
      </c>
      <c r="C31" s="107">
        <f>HLOOKUP($Q$29,$O$31:$Q$33,3,0)</f>
        <v>0.15</v>
      </c>
      <c r="D31" s="106"/>
      <c r="F31" s="117"/>
      <c r="G31" s="117"/>
      <c r="H31" s="117"/>
      <c r="I31" s="117"/>
      <c r="J31" s="117"/>
      <c r="L31" s="117"/>
      <c r="N31" s="104" t="s">
        <v>28</v>
      </c>
      <c r="O31" s="110">
        <v>1</v>
      </c>
      <c r="P31" s="110">
        <v>2</v>
      </c>
      <c r="Q31" s="110">
        <v>3</v>
      </c>
    </row>
    <row r="32" spans="2:17" ht="15.75" customHeight="1" x14ac:dyDescent="0.3">
      <c r="B32" s="104" t="s">
        <v>27</v>
      </c>
      <c r="C32" s="107">
        <f>HLOOKUP($Q$29,$O$31:$Q$33,2,0)</f>
        <v>0.8</v>
      </c>
      <c r="D32" s="106" t="s">
        <v>11</v>
      </c>
      <c r="E32" s="123">
        <f t="shared" ref="E32:J32" si="0">E30*$C$32</f>
        <v>0.8</v>
      </c>
      <c r="F32" s="123">
        <f t="shared" si="0"/>
        <v>0.8</v>
      </c>
      <c r="G32" s="123">
        <f t="shared" si="0"/>
        <v>0.8</v>
      </c>
      <c r="H32" s="123">
        <f t="shared" si="0"/>
        <v>0.8</v>
      </c>
      <c r="I32" s="123">
        <f t="shared" si="0"/>
        <v>0.8</v>
      </c>
      <c r="J32" s="123">
        <f t="shared" si="0"/>
        <v>0.8</v>
      </c>
      <c r="L32" s="123">
        <f>L30*$C$32</f>
        <v>0.8</v>
      </c>
      <c r="N32" s="104" t="s">
        <v>30</v>
      </c>
      <c r="O32" s="108">
        <v>0.8</v>
      </c>
      <c r="P32" s="108">
        <v>0.7</v>
      </c>
      <c r="Q32" s="108">
        <v>0.2</v>
      </c>
    </row>
    <row r="33" spans="2:19" ht="15.75" customHeight="1" x14ac:dyDescent="0.3">
      <c r="B33" s="104" t="s">
        <v>29</v>
      </c>
      <c r="C33" s="107">
        <v>0.8</v>
      </c>
      <c r="D33" s="106" t="s">
        <v>11</v>
      </c>
      <c r="E33" s="123">
        <f t="shared" ref="E33:J33" si="1">E30-E32</f>
        <v>0.19999999999999996</v>
      </c>
      <c r="F33" s="123">
        <f t="shared" si="1"/>
        <v>0.19999999999999996</v>
      </c>
      <c r="G33" s="123">
        <f t="shared" si="1"/>
        <v>0.19999999999999996</v>
      </c>
      <c r="H33" s="123">
        <f t="shared" si="1"/>
        <v>0.19999999999999996</v>
      </c>
      <c r="I33" s="123">
        <f t="shared" si="1"/>
        <v>0.19999999999999996</v>
      </c>
      <c r="J33" s="123">
        <f t="shared" si="1"/>
        <v>0.19999999999999996</v>
      </c>
      <c r="L33" s="123">
        <f>L30-L32</f>
        <v>0.19999999999999996</v>
      </c>
      <c r="N33" s="104" t="s">
        <v>31</v>
      </c>
      <c r="O33" s="108">
        <v>0.15</v>
      </c>
      <c r="P33" s="108">
        <v>0.2</v>
      </c>
      <c r="Q33" s="108">
        <v>0.2</v>
      </c>
    </row>
    <row r="34" spans="2:19" ht="19.5" customHeight="1" x14ac:dyDescent="0.3"/>
    <row r="35" spans="2:19" ht="15.75" customHeight="1" x14ac:dyDescent="0.3">
      <c r="B35" s="95" t="s">
        <v>32</v>
      </c>
    </row>
    <row r="36" spans="2:19" ht="19.5" customHeight="1" x14ac:dyDescent="0.3"/>
    <row r="37" spans="2:19" ht="28" x14ac:dyDescent="0.3">
      <c r="B37" s="98" t="s">
        <v>33</v>
      </c>
      <c r="C37" s="99"/>
      <c r="D37" s="100" t="s">
        <v>4</v>
      </c>
      <c r="E37" s="127" t="s">
        <v>34</v>
      </c>
      <c r="F37" s="127" t="s">
        <v>35</v>
      </c>
      <c r="G37" s="128" t="s">
        <v>36</v>
      </c>
      <c r="H37" s="128" t="s">
        <v>37</v>
      </c>
      <c r="I37" s="128" t="s">
        <v>38</v>
      </c>
      <c r="J37" s="128" t="s">
        <v>39</v>
      </c>
    </row>
    <row r="38" spans="2:19" ht="15.75" customHeight="1" x14ac:dyDescent="0.3">
      <c r="B38" s="104" t="s">
        <v>41</v>
      </c>
      <c r="C38" s="105"/>
      <c r="D38" s="106" t="s">
        <v>11</v>
      </c>
      <c r="E38" s="129">
        <v>371990</v>
      </c>
      <c r="F38" s="129">
        <v>186645</v>
      </c>
      <c r="G38" s="117">
        <v>-185345</v>
      </c>
      <c r="H38" s="117">
        <v>30</v>
      </c>
      <c r="I38" s="110">
        <v>7</v>
      </c>
      <c r="J38" s="108">
        <v>0.27</v>
      </c>
    </row>
    <row r="39" spans="2:19" ht="15.75" customHeight="1" x14ac:dyDescent="0.3">
      <c r="B39" s="104" t="s">
        <v>20</v>
      </c>
      <c r="C39" s="105"/>
      <c r="D39" s="106" t="s">
        <v>11</v>
      </c>
      <c r="E39" s="129">
        <v>109176</v>
      </c>
      <c r="F39" s="129">
        <v>54191</v>
      </c>
      <c r="G39" s="117">
        <v>-54985</v>
      </c>
      <c r="H39" s="117">
        <v>5</v>
      </c>
      <c r="I39" s="110">
        <v>3</v>
      </c>
      <c r="J39" s="108">
        <v>0.27</v>
      </c>
    </row>
    <row r="40" spans="2:19" ht="15.75" customHeight="1" x14ac:dyDescent="0.3">
      <c r="B40" s="104" t="s">
        <v>147</v>
      </c>
      <c r="C40" s="105"/>
      <c r="D40" s="106" t="s">
        <v>11</v>
      </c>
      <c r="E40" s="129">
        <v>92145</v>
      </c>
      <c r="F40" s="129">
        <v>38596</v>
      </c>
      <c r="G40" s="117">
        <v>-53549</v>
      </c>
      <c r="H40" s="117">
        <v>8</v>
      </c>
      <c r="I40" s="110">
        <v>3</v>
      </c>
      <c r="J40" s="108">
        <v>0.1</v>
      </c>
    </row>
    <row r="41" spans="2:19" ht="15.75" customHeight="1" x14ac:dyDescent="0.3">
      <c r="B41" s="104" t="s">
        <v>42</v>
      </c>
      <c r="C41" s="105"/>
      <c r="D41" s="106" t="s">
        <v>11</v>
      </c>
      <c r="E41" s="129">
        <v>41628</v>
      </c>
      <c r="F41" s="129">
        <v>20652</v>
      </c>
      <c r="G41" s="117">
        <v>-20976</v>
      </c>
      <c r="H41" s="117">
        <v>6</v>
      </c>
      <c r="I41" s="110">
        <f>ROUNDUP(F41/E41*H41,0)</f>
        <v>3</v>
      </c>
      <c r="J41" s="108">
        <v>0.1</v>
      </c>
    </row>
    <row r="42" spans="2:19" ht="15.75" customHeight="1" x14ac:dyDescent="0.3">
      <c r="B42" s="104" t="s">
        <v>16</v>
      </c>
      <c r="C42" s="105"/>
      <c r="D42" s="106" t="s">
        <v>11</v>
      </c>
      <c r="E42" s="129">
        <v>90295</v>
      </c>
      <c r="F42" s="129">
        <v>28156</v>
      </c>
      <c r="G42" s="117">
        <v>-62139</v>
      </c>
      <c r="H42" s="117">
        <v>3</v>
      </c>
      <c r="I42" s="110">
        <v>2</v>
      </c>
      <c r="J42" s="108">
        <v>0.16</v>
      </c>
    </row>
    <row r="43" spans="2:19" ht="15.75" customHeight="1" x14ac:dyDescent="0.3">
      <c r="B43" s="104" t="s">
        <v>43</v>
      </c>
      <c r="C43" s="105"/>
      <c r="D43" s="106" t="s">
        <v>11</v>
      </c>
      <c r="E43" s="129">
        <v>36197</v>
      </c>
      <c r="F43" s="129">
        <v>36151</v>
      </c>
      <c r="G43" s="117"/>
      <c r="H43" s="117">
        <v>5</v>
      </c>
      <c r="I43" s="110">
        <f>ROUNDUP(F43/E43*H43,0)</f>
        <v>5</v>
      </c>
      <c r="J43" s="108"/>
    </row>
    <row r="44" spans="2:19" ht="14" x14ac:dyDescent="0.3">
      <c r="B44" s="104" t="s">
        <v>40</v>
      </c>
      <c r="C44" s="105"/>
      <c r="D44" s="106" t="s">
        <v>11</v>
      </c>
      <c r="E44" s="129">
        <v>95243</v>
      </c>
      <c r="F44" s="129">
        <v>40750</v>
      </c>
      <c r="G44" s="117">
        <v>-54493</v>
      </c>
      <c r="H44" s="117">
        <v>10</v>
      </c>
      <c r="I44" s="110">
        <v>4</v>
      </c>
      <c r="J44" s="108">
        <v>0.1</v>
      </c>
    </row>
    <row r="45" spans="2:19" ht="19.5" customHeight="1" x14ac:dyDescent="0.3">
      <c r="J45" s="130"/>
      <c r="L45" s="130"/>
    </row>
    <row r="46" spans="2:19" ht="15.75" customHeight="1" x14ac:dyDescent="0.3"/>
    <row r="47" spans="2:19" ht="44.25" customHeight="1" x14ac:dyDescent="0.3"/>
    <row r="48" spans="2:19" ht="15.75" customHeight="1" x14ac:dyDescent="0.3">
      <c r="N48" s="131"/>
      <c r="O48" s="132"/>
      <c r="P48" s="132"/>
      <c r="Q48" s="132"/>
      <c r="R48" s="132"/>
      <c r="S48" s="132"/>
    </row>
    <row r="49" spans="2:16" ht="15.75" customHeight="1" x14ac:dyDescent="0.3">
      <c r="N49" s="131"/>
      <c r="O49" s="132"/>
    </row>
    <row r="50" spans="2:16" ht="15.75" customHeight="1" x14ac:dyDescent="0.3">
      <c r="N50" s="131"/>
    </row>
    <row r="51" spans="2:16" ht="15.75" customHeight="1" x14ac:dyDescent="0.3">
      <c r="N51" s="131"/>
      <c r="O51" s="132"/>
    </row>
    <row r="52" spans="2:16" ht="15.75" customHeight="1" x14ac:dyDescent="0.3">
      <c r="B52" s="94" t="s">
        <v>146</v>
      </c>
      <c r="N52" s="131"/>
      <c r="O52" s="132"/>
      <c r="P52" s="133"/>
    </row>
    <row r="53" spans="2:16" ht="15.75" customHeight="1" x14ac:dyDescent="0.3">
      <c r="N53" s="131"/>
      <c r="O53" s="132"/>
      <c r="P53" s="133"/>
    </row>
    <row r="54" spans="2:16" ht="15.75" customHeight="1" x14ac:dyDescent="0.3">
      <c r="N54" s="132"/>
      <c r="O54" s="132"/>
      <c r="P54" s="133"/>
    </row>
    <row r="55" spans="2:16" ht="15.75" customHeight="1" x14ac:dyDescent="0.3">
      <c r="O55" s="132"/>
      <c r="P55" s="133"/>
    </row>
    <row r="56" spans="2:16" ht="15.75" customHeight="1" x14ac:dyDescent="0.3">
      <c r="O56" s="132"/>
      <c r="P56" s="133"/>
    </row>
    <row r="57" spans="2:16" ht="15.75" customHeight="1" x14ac:dyDescent="0.3">
      <c r="O57" s="132"/>
    </row>
    <row r="58" spans="2:16" ht="15.75" customHeight="1" x14ac:dyDescent="0.3"/>
    <row r="59" spans="2:16" ht="15.75" customHeight="1" x14ac:dyDescent="0.3"/>
    <row r="60" spans="2:16" ht="15.75" customHeight="1" x14ac:dyDescent="0.3"/>
    <row r="61" spans="2:16" ht="15.75" customHeight="1" x14ac:dyDescent="0.3"/>
    <row r="62" spans="2:16" ht="15.75" customHeight="1" x14ac:dyDescent="0.3"/>
    <row r="63" spans="2:16" ht="15.75" customHeight="1" x14ac:dyDescent="0.3"/>
    <row r="64" spans="2:1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dataValidations count="1">
    <dataValidation type="list" allowBlank="1" showErrorMessage="1" sqref="Q29" xr:uid="{61169A9C-30A5-4D80-8928-0FBDC2E280A3}">
      <formula1>$O$31:$Q$31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D6A8-2917-498C-A719-609AF121FB05}">
  <sheetPr codeName="Лист2"/>
  <dimension ref="A1:AA1011"/>
  <sheetViews>
    <sheetView showGridLines="0" topLeftCell="A152" workbookViewId="0">
      <selection activeCell="H151" sqref="H151"/>
    </sheetView>
  </sheetViews>
  <sheetFormatPr defaultColWidth="14.453125" defaultRowHeight="14.5" x14ac:dyDescent="0.35"/>
  <cols>
    <col min="1" max="1" width="3.453125" customWidth="1"/>
    <col min="2" max="2" width="35.7265625" customWidth="1"/>
    <col min="3" max="13" width="10.7265625" customWidth="1"/>
    <col min="14" max="27" width="8.7265625" customWidth="1"/>
  </cols>
  <sheetData>
    <row r="1" spans="1:27" ht="21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L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5">
      <c r="A2" s="1"/>
      <c r="B2" s="1" t="s">
        <v>45</v>
      </c>
      <c r="C2" s="1"/>
      <c r="D2" s="1" t="s">
        <v>4</v>
      </c>
      <c r="E2" s="3">
        <v>2023</v>
      </c>
      <c r="F2" s="4">
        <v>2024</v>
      </c>
      <c r="G2" s="4">
        <v>2025</v>
      </c>
      <c r="H2" s="4">
        <v>2026</v>
      </c>
      <c r="I2" s="4">
        <v>2027</v>
      </c>
      <c r="J2" s="4">
        <v>2028</v>
      </c>
      <c r="L2" s="4">
        <v>2029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35">
      <c r="A3" s="1"/>
      <c r="B3" s="1" t="s">
        <v>46</v>
      </c>
      <c r="C3" s="1"/>
      <c r="D3" s="1" t="s">
        <v>47</v>
      </c>
      <c r="E3" s="5">
        <f t="shared" ref="E3:J3" si="0">DATE(E2,12,31)</f>
        <v>45291</v>
      </c>
      <c r="F3" s="6">
        <f t="shared" si="0"/>
        <v>45657</v>
      </c>
      <c r="G3" s="6">
        <f t="shared" si="0"/>
        <v>46022</v>
      </c>
      <c r="H3" s="6">
        <f t="shared" si="0"/>
        <v>46387</v>
      </c>
      <c r="I3" s="6">
        <f t="shared" si="0"/>
        <v>46752</v>
      </c>
      <c r="J3" s="6">
        <f t="shared" si="0"/>
        <v>47118</v>
      </c>
      <c r="L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35">
      <c r="A4" s="1"/>
      <c r="B4" s="1" t="s">
        <v>48</v>
      </c>
      <c r="C4" s="1"/>
      <c r="D4" s="1" t="s">
        <v>47</v>
      </c>
      <c r="E4" s="5" t="s">
        <v>49</v>
      </c>
      <c r="F4" s="6" t="s">
        <v>50</v>
      </c>
      <c r="G4" s="6" t="s">
        <v>50</v>
      </c>
      <c r="H4" s="6" t="s">
        <v>50</v>
      </c>
      <c r="I4" s="6" t="s">
        <v>50</v>
      </c>
      <c r="J4" s="6" t="s">
        <v>50</v>
      </c>
      <c r="L4" s="6" t="s">
        <v>50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35">
      <c r="A5" s="1"/>
      <c r="B5" s="1" t="s">
        <v>51</v>
      </c>
      <c r="C5" s="1"/>
      <c r="D5" s="1" t="s">
        <v>8</v>
      </c>
      <c r="E5" s="7">
        <v>1</v>
      </c>
      <c r="F5" s="8">
        <f>E5*(1+Допущения!F$20)</f>
        <v>1.0900000000000001</v>
      </c>
      <c r="G5" s="8">
        <f>F5*(1+Допущения!G$20)</f>
        <v>1.1554000000000002</v>
      </c>
      <c r="H5" s="8">
        <f>G5*(1+Допущения!H$20)</f>
        <v>1.2016160000000002</v>
      </c>
      <c r="I5" s="8">
        <f>H5*(1+Допущения!I$20)</f>
        <v>1.2496806400000002</v>
      </c>
      <c r="J5" s="8">
        <f>I5*(1+Допущения!J$20)</f>
        <v>1.2996678656000002</v>
      </c>
      <c r="L5" s="8">
        <f>J5*(1+Допущения!L$20)</f>
        <v>1.3516545802240003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35">
      <c r="A6" s="1"/>
      <c r="B6" s="1" t="s">
        <v>149</v>
      </c>
      <c r="C6" s="1"/>
      <c r="D6" s="1" t="s">
        <v>8</v>
      </c>
      <c r="E6" s="7">
        <v>1</v>
      </c>
      <c r="F6" s="8">
        <f>E6*(1+Допущения!F$5)</f>
        <v>1.18</v>
      </c>
      <c r="G6" s="8">
        <f>F6*(1+Допущения!G$5)</f>
        <v>1.3569999999999998</v>
      </c>
      <c r="H6" s="8">
        <f>G6*(1+Допущения!H$5)</f>
        <v>1.4926999999999999</v>
      </c>
      <c r="I6" s="8">
        <f>H6*(1+Допущения!I$5)</f>
        <v>1.597189</v>
      </c>
      <c r="J6" s="8">
        <f>I6*(1+Допущения!J$5)</f>
        <v>1.67704845</v>
      </c>
      <c r="L6" s="8">
        <f>J6*(1+Допущения!L$5)</f>
        <v>1.7273599035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35">
      <c r="A7" s="1"/>
      <c r="B7" s="1"/>
      <c r="C7" s="1"/>
      <c r="D7" s="1"/>
      <c r="E7" s="4"/>
      <c r="F7" s="4"/>
      <c r="G7" s="4"/>
      <c r="H7" s="9"/>
      <c r="I7" s="4"/>
      <c r="J7" s="4"/>
      <c r="L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35">
      <c r="A8" s="1"/>
      <c r="B8" s="10" t="s">
        <v>52</v>
      </c>
      <c r="C8" s="10"/>
      <c r="D8" s="10"/>
      <c r="E8" s="11"/>
      <c r="F8" s="11"/>
      <c r="G8" s="11"/>
      <c r="H8" s="11"/>
      <c r="I8" s="11"/>
      <c r="J8" s="11"/>
      <c r="L8" s="1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E9" s="12"/>
      <c r="F9" s="12"/>
      <c r="G9" s="12"/>
      <c r="H9" s="12"/>
      <c r="I9" s="12"/>
      <c r="J9" s="12"/>
      <c r="L9" s="12"/>
    </row>
    <row r="10" spans="1:27" ht="15.75" customHeight="1" x14ac:dyDescent="0.35">
      <c r="A10" s="1"/>
      <c r="B10" s="13" t="s">
        <v>53</v>
      </c>
      <c r="C10" s="13"/>
      <c r="D10" s="13"/>
      <c r="E10" s="14"/>
      <c r="F10" s="14"/>
      <c r="G10" s="14"/>
      <c r="H10" s="14"/>
      <c r="I10" s="14"/>
      <c r="J10" s="14"/>
      <c r="L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5">
      <c r="A11" s="1"/>
      <c r="B11" s="1"/>
      <c r="C11" s="1"/>
      <c r="D11" s="1"/>
      <c r="E11" s="4"/>
      <c r="F11" s="4"/>
      <c r="G11" s="4"/>
      <c r="H11" s="4"/>
      <c r="I11" s="4"/>
      <c r="J11" s="4"/>
      <c r="L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5">
      <c r="A12" s="1"/>
      <c r="B12" s="18" t="s">
        <v>54</v>
      </c>
      <c r="C12" s="18"/>
      <c r="D12" s="19" t="s">
        <v>11</v>
      </c>
      <c r="E12" s="20">
        <v>3138516.8107147301</v>
      </c>
      <c r="F12" s="21">
        <f>E12*(1+Допущения!F$5)</f>
        <v>3703449.8366433815</v>
      </c>
      <c r="G12" s="21">
        <f>F12*(1+Допущения!G$5)</f>
        <v>4258967.3121398883</v>
      </c>
      <c r="H12" s="21">
        <f>G12*(1+Допущения!H$5)</f>
        <v>4684864.043353878</v>
      </c>
      <c r="I12" s="21">
        <f>H12*(1+Допущения!I$5)</f>
        <v>5012804.5263886498</v>
      </c>
      <c r="J12" s="21">
        <f>I12*(1+Допущения!J$5)</f>
        <v>5263444.7527080821</v>
      </c>
      <c r="L12" s="21">
        <f>J12*(1+Допущения!L$5)</f>
        <v>5421348.0952893244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E13" s="12"/>
      <c r="F13" s="12"/>
      <c r="G13" s="12"/>
      <c r="H13" s="12"/>
      <c r="I13" s="12"/>
      <c r="J13" s="12"/>
      <c r="L13" s="12"/>
    </row>
    <row r="14" spans="1:27" ht="15.75" customHeight="1" x14ac:dyDescent="0.35">
      <c r="A14" s="1"/>
      <c r="B14" s="1" t="s">
        <v>158</v>
      </c>
      <c r="C14" s="1"/>
      <c r="D14" s="15" t="s">
        <v>11</v>
      </c>
      <c r="E14" s="16">
        <f>E17*(1+Допущения!C32)</f>
        <v>522417.60000000003</v>
      </c>
      <c r="F14" s="17">
        <f>Допущения!$C$31*F$12</f>
        <v>555517.47549650725</v>
      </c>
      <c r="G14" s="17">
        <f>Допущения!$C$31*G$12</f>
        <v>638845.09682098322</v>
      </c>
      <c r="H14" s="17">
        <f>Допущения!$C$31*H$12</f>
        <v>702729.60650308162</v>
      </c>
      <c r="I14" s="17">
        <f>Допущения!$C$31*I$12</f>
        <v>751920.67895829747</v>
      </c>
      <c r="J14" s="17">
        <f>Допущения!$C$31*J$12</f>
        <v>789516.71290621231</v>
      </c>
      <c r="L14" s="17">
        <f>Допущения!$C$31*L$12</f>
        <v>813202.21429339866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5">
      <c r="A15" s="1"/>
      <c r="B15" s="1" t="s">
        <v>162</v>
      </c>
      <c r="C15" s="1"/>
      <c r="D15" s="15" t="s">
        <v>11</v>
      </c>
      <c r="E15" s="17">
        <f>E14*Допущения!E32</f>
        <v>417934.08000000007</v>
      </c>
      <c r="F15" s="17">
        <f>F14*Допущения!F32</f>
        <v>444413.9803972058</v>
      </c>
      <c r="G15" s="17">
        <f>G14*Допущения!G32</f>
        <v>511076.07745678659</v>
      </c>
      <c r="H15" s="17">
        <f>H14*Допущения!H32</f>
        <v>562183.68520246528</v>
      </c>
      <c r="I15" s="17">
        <f>I14*Допущения!I32</f>
        <v>601536.543166638</v>
      </c>
      <c r="J15" s="17">
        <f>J14*Допущения!J32</f>
        <v>631613.37032496987</v>
      </c>
      <c r="L15" s="17">
        <f>L14*Допущения!L32</f>
        <v>650561.77143471898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5">
      <c r="A16" s="1"/>
      <c r="B16" s="1" t="s">
        <v>163</v>
      </c>
      <c r="C16" s="1"/>
      <c r="D16" s="15" t="s">
        <v>11</v>
      </c>
      <c r="E16" s="17"/>
      <c r="F16" s="17">
        <f>E14-E15</f>
        <v>104483.51999999996</v>
      </c>
      <c r="G16" s="17">
        <f>F14-F15</f>
        <v>111103.49509930145</v>
      </c>
      <c r="H16" s="17">
        <f>G14-G15</f>
        <v>127769.01936419663</v>
      </c>
      <c r="I16" s="17">
        <f>H14-H15</f>
        <v>140545.92130061635</v>
      </c>
      <c r="J16" s="17">
        <f>I14-I15</f>
        <v>150384.13579165947</v>
      </c>
      <c r="L16" s="17">
        <f>J14-J15</f>
        <v>157903.34258124244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5">
      <c r="A17" s="1"/>
      <c r="B17" s="1" t="s">
        <v>161</v>
      </c>
      <c r="C17" s="7"/>
      <c r="D17" s="15" t="s">
        <v>11</v>
      </c>
      <c r="E17" s="16">
        <v>290232</v>
      </c>
      <c r="F17" s="17">
        <f>E17+F14-F15-F16</f>
        <v>296851.97509930149</v>
      </c>
      <c r="G17" s="17">
        <f>F17+G14-G15-G16</f>
        <v>313517.49936419673</v>
      </c>
      <c r="H17" s="17">
        <f>G17+H14-H15-H16</f>
        <v>326294.40130061639</v>
      </c>
      <c r="I17" s="17">
        <f>H17+I14-I15-I16</f>
        <v>336132.61579165945</v>
      </c>
      <c r="J17" s="17">
        <f>I17+J14-J15-J16</f>
        <v>343651.82258124254</v>
      </c>
      <c r="L17" s="17">
        <f>J17+L14-L15-L16</f>
        <v>348388.92285867978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5">
      <c r="A18" s="1"/>
      <c r="B18" s="1" t="s">
        <v>170</v>
      </c>
      <c r="C18" s="7"/>
      <c r="D18" s="15" t="s">
        <v>11</v>
      </c>
      <c r="E18" s="16"/>
      <c r="F18" s="17">
        <f>F17-E17</f>
        <v>6619.9750993014895</v>
      </c>
      <c r="G18" s="17">
        <f>G17-F17</f>
        <v>16665.524264895241</v>
      </c>
      <c r="H18" s="17">
        <f>H17-G17</f>
        <v>12776.901936419657</v>
      </c>
      <c r="I18" s="17">
        <f>I17-H17</f>
        <v>9838.2144910430652</v>
      </c>
      <c r="J18" s="17">
        <f>J17-I17</f>
        <v>7519.2067895830842</v>
      </c>
      <c r="L18" s="17">
        <f>L17-J17</f>
        <v>4737.1002774372464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5">
      <c r="A19" s="1"/>
      <c r="B19" s="1" t="s">
        <v>164</v>
      </c>
      <c r="C19" s="7"/>
      <c r="D19" s="15" t="s">
        <v>11</v>
      </c>
      <c r="E19" s="16">
        <v>36928</v>
      </c>
      <c r="F19" s="17">
        <f>$E$19*F5</f>
        <v>40251.520000000004</v>
      </c>
      <c r="G19" s="17">
        <f>$E$19*G5</f>
        <v>42666.611200000007</v>
      </c>
      <c r="H19" s="17">
        <f>$E$19*H5</f>
        <v>44373.27564800001</v>
      </c>
      <c r="I19" s="17">
        <f>$E$19*I5</f>
        <v>46148.206673920009</v>
      </c>
      <c r="J19" s="17">
        <f>$E$19*J5</f>
        <v>47994.134940876807</v>
      </c>
      <c r="L19" s="17">
        <f>$E$19*L5</f>
        <v>49913.900338511885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5">
      <c r="A20" s="1"/>
      <c r="B20" s="1" t="s">
        <v>169</v>
      </c>
      <c r="C20" s="7"/>
      <c r="D20" s="15" t="s">
        <v>11</v>
      </c>
      <c r="E20" s="16"/>
      <c r="F20" s="17">
        <f>F19-E19</f>
        <v>3323.5200000000041</v>
      </c>
      <c r="G20" s="17">
        <f>G19-F19</f>
        <v>2415.0912000000026</v>
      </c>
      <c r="H20" s="17">
        <f>H19-G19</f>
        <v>1706.6644480000032</v>
      </c>
      <c r="I20" s="17">
        <f>I19-H19</f>
        <v>1774.9310259199992</v>
      </c>
      <c r="J20" s="17">
        <f>J19-I19</f>
        <v>1845.9282669567983</v>
      </c>
      <c r="L20" s="17">
        <f>L19-J19</f>
        <v>1919.7653976350775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5">
      <c r="A21" s="1"/>
      <c r="B21" s="1"/>
      <c r="C21" s="1"/>
      <c r="D21" s="1"/>
      <c r="E21" s="4"/>
      <c r="F21" s="4"/>
      <c r="G21" s="4"/>
      <c r="H21" s="4"/>
      <c r="I21" s="4"/>
      <c r="J21" s="4"/>
      <c r="L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5">
      <c r="A22" s="1"/>
      <c r="B22" s="25" t="s">
        <v>55</v>
      </c>
      <c r="C22" s="25"/>
      <c r="D22" s="26" t="s">
        <v>11</v>
      </c>
      <c r="E22" s="27">
        <f t="shared" ref="E22:J22" si="1">E12</f>
        <v>3138516.8107147301</v>
      </c>
      <c r="F22" s="27">
        <f t="shared" si="1"/>
        <v>3703449.8366433815</v>
      </c>
      <c r="G22" s="27">
        <f t="shared" si="1"/>
        <v>4258967.3121398883</v>
      </c>
      <c r="H22" s="27">
        <f t="shared" si="1"/>
        <v>4684864.043353878</v>
      </c>
      <c r="I22" s="27">
        <f t="shared" si="1"/>
        <v>5012804.5263886498</v>
      </c>
      <c r="J22" s="27">
        <f t="shared" si="1"/>
        <v>5263444.7527080821</v>
      </c>
      <c r="L22" s="27">
        <f>L12</f>
        <v>5421348.0952893244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5">
      <c r="A23" s="1"/>
      <c r="B23" s="1"/>
      <c r="C23" s="1"/>
      <c r="D23" s="1"/>
      <c r="E23" s="17"/>
      <c r="F23" s="17"/>
      <c r="G23" s="17"/>
      <c r="H23" s="17"/>
      <c r="I23" s="17"/>
      <c r="J23" s="24"/>
      <c r="L23" s="2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5">
      <c r="A24" s="1"/>
      <c r="B24" s="1"/>
      <c r="C24" s="1"/>
      <c r="D24" s="1"/>
      <c r="E24" s="4"/>
      <c r="F24" s="17"/>
      <c r="G24" s="17"/>
      <c r="H24" s="17"/>
      <c r="I24" s="17"/>
      <c r="J24" s="17"/>
      <c r="L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5">
      <c r="A25" s="1"/>
      <c r="B25" s="13" t="s">
        <v>56</v>
      </c>
      <c r="C25" s="13"/>
      <c r="D25" s="13"/>
      <c r="E25" s="14"/>
      <c r="F25" s="14"/>
      <c r="G25" s="14"/>
      <c r="H25" s="14"/>
      <c r="I25" s="14"/>
      <c r="J25" s="14"/>
      <c r="L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5">
      <c r="A26" s="1"/>
      <c r="B26" s="1"/>
      <c r="C26" s="1"/>
      <c r="D26" s="1"/>
      <c r="E26" s="4"/>
      <c r="F26" s="4"/>
      <c r="G26" s="4"/>
      <c r="H26" s="4"/>
      <c r="I26" s="4"/>
      <c r="J26" s="4"/>
      <c r="L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5">
      <c r="A27" s="1"/>
      <c r="B27" s="1" t="s">
        <v>56</v>
      </c>
      <c r="C27" s="1"/>
      <c r="D27" s="15" t="s">
        <v>11</v>
      </c>
      <c r="E27" s="4"/>
      <c r="F27" s="17">
        <f>SUM(F28:F33)</f>
        <v>130800.00000000001</v>
      </c>
      <c r="G27" s="17">
        <f>SUM(G28:G33)</f>
        <v>127094.00000000003</v>
      </c>
      <c r="H27" s="17">
        <f>SUM(H28:H33)</f>
        <v>120161.60000000002</v>
      </c>
      <c r="I27" s="17">
        <f>SUM(I28:I33)</f>
        <v>99974.451200000025</v>
      </c>
      <c r="J27" s="17">
        <f>SUM(J28:J33)</f>
        <v>77980.071936000022</v>
      </c>
      <c r="L27" s="17">
        <f>SUM(L28:L33)</f>
        <v>54066.183208960007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5">
      <c r="A28" s="1"/>
      <c r="B28" s="22" t="s">
        <v>61</v>
      </c>
      <c r="C28" s="22"/>
      <c r="D28" s="23" t="s">
        <v>11</v>
      </c>
      <c r="E28" s="29"/>
      <c r="F28" s="24">
        <f>Допущения!F$14*Допущения!$J38*F$5</f>
        <v>35316.000000000007</v>
      </c>
      <c r="G28" s="24">
        <f>Допущения!G$14*Допущения!$J38*G$5</f>
        <v>34315.380000000012</v>
      </c>
      <c r="H28" s="24">
        <f>Допущения!H$14*Допущения!$J38*H$5</f>
        <v>32443.632000000005</v>
      </c>
      <c r="I28" s="24">
        <f>Допущения!I$14*Допущения!$J38*I$5</f>
        <v>26993.101824000005</v>
      </c>
      <c r="J28" s="24">
        <f>Допущения!J$14*Допущения!$J38*J$5</f>
        <v>21054.619422720007</v>
      </c>
      <c r="L28" s="24">
        <f>Допущения!L$14*Допущения!$J38*L$5</f>
        <v>14597.869466419203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5">
      <c r="A29" s="1"/>
      <c r="B29" s="22" t="s">
        <v>20</v>
      </c>
      <c r="C29" s="22"/>
      <c r="D29" s="23" t="s">
        <v>11</v>
      </c>
      <c r="E29" s="29"/>
      <c r="F29" s="24">
        <f>Допущения!F$14*Допущения!$J39*F$5</f>
        <v>35316.000000000007</v>
      </c>
      <c r="G29" s="24">
        <f>Допущения!G$14*Допущения!$J39*G$5</f>
        <v>34315.380000000012</v>
      </c>
      <c r="H29" s="24">
        <f>Допущения!H$14*Допущения!$J39*H$5</f>
        <v>32443.632000000005</v>
      </c>
      <c r="I29" s="24">
        <f>Допущения!I$14*Допущения!$J39*I$5</f>
        <v>26993.101824000005</v>
      </c>
      <c r="J29" s="24">
        <f>Допущения!J$14*Допущения!$J39*J$5</f>
        <v>21054.619422720007</v>
      </c>
      <c r="L29" s="24">
        <f>Допущения!L$14*Допущения!$J39*L$5</f>
        <v>14597.869466419203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5">
      <c r="A30" s="1"/>
      <c r="B30" s="22" t="s">
        <v>147</v>
      </c>
      <c r="C30" s="22"/>
      <c r="D30" s="23" t="s">
        <v>11</v>
      </c>
      <c r="E30" s="29"/>
      <c r="F30" s="24">
        <f>Допущения!F$14*Допущения!$J40*F$5</f>
        <v>13080.000000000002</v>
      </c>
      <c r="G30" s="24">
        <f>Допущения!G$14*Допущения!$J40*G$5</f>
        <v>12709.400000000001</v>
      </c>
      <c r="H30" s="24">
        <f>Допущения!H$14*Допущения!$J40*H$5</f>
        <v>12016.160000000002</v>
      </c>
      <c r="I30" s="24">
        <f>Допущения!I$14*Допущения!$J40*I$5</f>
        <v>9997.4451200000021</v>
      </c>
      <c r="J30" s="24">
        <f>Допущения!J$14*Допущения!$J40*J$5</f>
        <v>7798.0071936000013</v>
      </c>
      <c r="L30" s="24">
        <f>Допущения!L$14*Допущения!$J40*L$5</f>
        <v>5406.618320896001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5">
      <c r="A31" s="1"/>
      <c r="B31" s="22" t="s">
        <v>42</v>
      </c>
      <c r="C31" s="22"/>
      <c r="D31" s="23" t="s">
        <v>11</v>
      </c>
      <c r="E31" s="29"/>
      <c r="F31" s="24">
        <f>Допущения!F$14*Допущения!$J41*F$5</f>
        <v>13080.000000000002</v>
      </c>
      <c r="G31" s="24">
        <f>Допущения!G$14*Допущения!$J41*G$5</f>
        <v>12709.400000000001</v>
      </c>
      <c r="H31" s="24">
        <f>Допущения!H$14*Допущения!$J41*H$5</f>
        <v>12016.160000000002</v>
      </c>
      <c r="I31" s="24">
        <f>Допущения!I$14*Допущения!$J41*I$5</f>
        <v>9997.4451200000021</v>
      </c>
      <c r="J31" s="24">
        <f>Допущения!J$14*Допущения!$J41*J$5</f>
        <v>7798.0071936000013</v>
      </c>
      <c r="L31" s="24">
        <f>Допущения!L$14*Допущения!$J41*L$5</f>
        <v>5406.618320896001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5">
      <c r="A32" s="1"/>
      <c r="B32" s="22" t="s">
        <v>16</v>
      </c>
      <c r="C32" s="22"/>
      <c r="D32" s="23" t="s">
        <v>11</v>
      </c>
      <c r="E32" s="29"/>
      <c r="F32" s="24">
        <f>Допущения!F$14*Допущения!$J42*F$5</f>
        <v>20928</v>
      </c>
      <c r="G32" s="24">
        <f>Допущения!G$14*Допущения!$J42*G$5</f>
        <v>20335.040000000005</v>
      </c>
      <c r="H32" s="24">
        <f>Допущения!H$14*Допущения!$J42*H$5</f>
        <v>19225.856000000003</v>
      </c>
      <c r="I32" s="24">
        <f>Допущения!I$14*Допущения!$J42*I$5</f>
        <v>15995.912192000003</v>
      </c>
      <c r="J32" s="24">
        <f>Допущения!J$14*Допущения!$J42*J$5</f>
        <v>12476.811509760002</v>
      </c>
      <c r="L32" s="24">
        <f>Допущения!L$14*Допущения!$J42*L$5</f>
        <v>8650.589313433602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5">
      <c r="A33" s="1"/>
      <c r="B33" s="22" t="s">
        <v>40</v>
      </c>
      <c r="C33" s="22"/>
      <c r="D33" s="23" t="s">
        <v>11</v>
      </c>
      <c r="E33" s="29"/>
      <c r="F33" s="24">
        <f>Допущения!F$14*Допущения!$J44*F$5</f>
        <v>13080.000000000002</v>
      </c>
      <c r="G33" s="24">
        <f>Допущения!G$14*Допущения!$J44*G$5</f>
        <v>12709.400000000001</v>
      </c>
      <c r="H33" s="24">
        <f>Допущения!H$14*Допущения!$J44*H$5</f>
        <v>12016.160000000002</v>
      </c>
      <c r="I33" s="24">
        <f>Допущения!I$14*Допущения!$J44*I$5</f>
        <v>9997.4451200000021</v>
      </c>
      <c r="J33" s="24">
        <f>Допущения!J$14*Допущения!$J44*J$5</f>
        <v>7798.0071936000013</v>
      </c>
      <c r="L33" s="24">
        <f>Допущения!L$14*Допущения!$J44*L$5</f>
        <v>5406.618320896001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5">
      <c r="A34" s="1"/>
      <c r="B34" s="1"/>
      <c r="C34" s="1"/>
      <c r="D34" s="1"/>
      <c r="E34" s="4"/>
      <c r="F34" s="4"/>
      <c r="G34" s="4"/>
      <c r="H34" s="4"/>
      <c r="I34" s="4"/>
      <c r="J34" s="4"/>
      <c r="L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5">
      <c r="A35" s="1"/>
      <c r="B35" s="1" t="s">
        <v>57</v>
      </c>
      <c r="C35" s="1"/>
      <c r="D35" s="15" t="s">
        <v>11</v>
      </c>
      <c r="E35" s="4"/>
      <c r="F35" s="17">
        <f>SUM(F36:F41)</f>
        <v>130800.00000000001</v>
      </c>
      <c r="G35" s="17">
        <f>SUM(G36:G41)</f>
        <v>257894.00000000003</v>
      </c>
      <c r="H35" s="17">
        <f>SUM(H36:H41)</f>
        <v>378055.60000000003</v>
      </c>
      <c r="I35" s="17">
        <f>SUM(I36:I41)</f>
        <v>457102.05120000005</v>
      </c>
      <c r="J35" s="17">
        <f>SUM(J36:J41)</f>
        <v>514747.08313600003</v>
      </c>
      <c r="L35" s="17">
        <f>SUM(L36:L41)</f>
        <v>514271.41034496011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5">
      <c r="A36" s="1"/>
      <c r="B36" s="22" t="s">
        <v>61</v>
      </c>
      <c r="C36" s="22"/>
      <c r="D36" s="23" t="s">
        <v>11</v>
      </c>
      <c r="E36" s="29"/>
      <c r="F36" s="24">
        <f>SUM($F28:F28)-SUMPRODUCT((F$2-$F$2:F$2&gt;=Допущения!$H38)*$F28:F28)</f>
        <v>35316.000000000007</v>
      </c>
      <c r="G36" s="24">
        <f>SUM($F28:G28)-SUMPRODUCT((G$2-$F$2:G$2&gt;=Допущения!$H38)*$F28:G28)</f>
        <v>69631.380000000019</v>
      </c>
      <c r="H36" s="24">
        <f>SUM($F28:H28)-SUMPRODUCT((H$2-$F$2:H$2&gt;=Допущения!$H38)*$F28:H28)</f>
        <v>102075.01200000002</v>
      </c>
      <c r="I36" s="24">
        <f>SUM($F28:I28)-SUMPRODUCT((I$2-$F$2:I$2&gt;=Допущения!$H38)*$F28:I28)</f>
        <v>129068.11382400003</v>
      </c>
      <c r="J36" s="24">
        <f>SUM($F28:J28)-SUMPRODUCT((J$2-$F$2:J$2&gt;=Допущения!$H38)*$F28:J28)</f>
        <v>150122.73324672005</v>
      </c>
      <c r="L36" s="24">
        <f>SUM($F28:L28)-SUMPRODUCT((L$2-$F$2:L$2&gt;=Допущения!$H38)*$F28:L28)</f>
        <v>164720.60271313926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5">
      <c r="A37" s="1"/>
      <c r="B37" s="22" t="s">
        <v>20</v>
      </c>
      <c r="C37" s="22"/>
      <c r="D37" s="23" t="s">
        <v>11</v>
      </c>
      <c r="E37" s="29"/>
      <c r="F37" s="24">
        <f>SUM($F29:F29)-SUMPRODUCT((F$2-$F$2:F$2&gt;=Допущения!$H39)*$F29:F29)</f>
        <v>35316.000000000007</v>
      </c>
      <c r="G37" s="24">
        <f>SUM($F29:G29)-SUMPRODUCT((G$2-$F$2:G$2&gt;=Допущения!$H39)*$F29:G29)</f>
        <v>69631.380000000019</v>
      </c>
      <c r="H37" s="24">
        <f>SUM($F29:H29)-SUMPRODUCT((H$2-$F$2:H$2&gt;=Допущения!$H39)*$F29:H29)</f>
        <v>102075.01200000002</v>
      </c>
      <c r="I37" s="24">
        <f>SUM($F29:I29)-SUMPRODUCT((I$2-$F$2:I$2&gt;=Допущения!$H39)*$F29:I29)</f>
        <v>129068.11382400003</v>
      </c>
      <c r="J37" s="24">
        <f>SUM($F29:J29)-SUMPRODUCT((J$2-$F$2:J$2&gt;=Допущения!$H39)*$F29:J29)</f>
        <v>150122.73324672005</v>
      </c>
      <c r="L37" s="24">
        <f>SUM($F29:L29)-SUMPRODUCT((L$2-$F$2:L$2&gt;=Допущения!$H39)*$F29:L29)</f>
        <v>129404.60271313926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5">
      <c r="A38" s="1"/>
      <c r="B38" s="22" t="s">
        <v>147</v>
      </c>
      <c r="C38" s="22"/>
      <c r="D38" s="23" t="s">
        <v>11</v>
      </c>
      <c r="E38" s="29"/>
      <c r="F38" s="24">
        <f>SUM($F30:F30)-SUMPRODUCT((F$2-$F$2:F$2&gt;=Допущения!$H40)*$F30:F30)</f>
        <v>13080.000000000002</v>
      </c>
      <c r="G38" s="24">
        <f>SUM($F30:G30)-SUMPRODUCT((G$2-$F$2:G$2&gt;=Допущения!$H40)*$F30:G30)</f>
        <v>25789.4</v>
      </c>
      <c r="H38" s="24">
        <f>SUM($F30:H30)-SUMPRODUCT((H$2-$F$2:H$2&gt;=Допущения!$H40)*$F30:H30)</f>
        <v>37805.560000000005</v>
      </c>
      <c r="I38" s="24">
        <f>SUM($F30:I30)-SUMPRODUCT((I$2-$F$2:I$2&gt;=Допущения!$H40)*$F30:I30)</f>
        <v>47803.005120000009</v>
      </c>
      <c r="J38" s="24">
        <f>SUM($F30:J30)-SUMPRODUCT((J$2-$F$2:J$2&gt;=Допущения!$H40)*$F30:J30)</f>
        <v>55601.012313600011</v>
      </c>
      <c r="L38" s="24">
        <f>SUM($F30:L30)-SUMPRODUCT((L$2-$F$2:L$2&gt;=Допущения!$H40)*$F30:L30)</f>
        <v>61007.63063449601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5">
      <c r="A39" s="1"/>
      <c r="B39" s="22" t="s">
        <v>42</v>
      </c>
      <c r="C39" s="22"/>
      <c r="D39" s="23" t="s">
        <v>11</v>
      </c>
      <c r="E39" s="29"/>
      <c r="F39" s="24">
        <f>SUM($F31:F31)-SUMPRODUCT((F$2-$F$2:F$2&gt;=Допущения!$H41)*$F31:F31)</f>
        <v>13080.000000000002</v>
      </c>
      <c r="G39" s="24">
        <f>SUM($F31:G31)-SUMPRODUCT((G$2-$F$2:G$2&gt;=Допущения!$H41)*$F31:G31)</f>
        <v>25789.4</v>
      </c>
      <c r="H39" s="24">
        <f>SUM($F31:H31)-SUMPRODUCT((H$2-$F$2:H$2&gt;=Допущения!$H41)*$F31:H31)</f>
        <v>37805.560000000005</v>
      </c>
      <c r="I39" s="24">
        <f>SUM($F31:I31)-SUMPRODUCT((I$2-$F$2:I$2&gt;=Допущения!$H41)*$F31:I31)</f>
        <v>47803.005120000009</v>
      </c>
      <c r="J39" s="24">
        <f>SUM($F31:J31)-SUMPRODUCT((J$2-$F$2:J$2&gt;=Допущения!$H41)*$F31:J31)</f>
        <v>55601.012313600011</v>
      </c>
      <c r="L39" s="24">
        <f>SUM($F31:L31)-SUMPRODUCT((L$2-$F$2:L$2&gt;=Допущения!$H41)*$F31:L31)</f>
        <v>61007.63063449601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5">
      <c r="A40" s="1"/>
      <c r="B40" s="22" t="s">
        <v>16</v>
      </c>
      <c r="C40" s="22"/>
      <c r="D40" s="23" t="s">
        <v>11</v>
      </c>
      <c r="E40" s="29"/>
      <c r="F40" s="24">
        <f>SUM($F32:F32)-SUMPRODUCT((F$2-$F$2:F$2&gt;=Допущения!$H42)*$F32:F32)</f>
        <v>20928</v>
      </c>
      <c r="G40" s="24">
        <f>SUM($F32:G32)-SUMPRODUCT((G$2-$F$2:G$2&gt;=Допущения!$H42)*$F32:G32)</f>
        <v>41263.040000000008</v>
      </c>
      <c r="H40" s="24">
        <f>SUM($F32:H32)-SUMPRODUCT((H$2-$F$2:H$2&gt;=Допущения!$H42)*$F32:H32)</f>
        <v>60488.896000000008</v>
      </c>
      <c r="I40" s="24">
        <f>SUM($F32:I32)-SUMPRODUCT((I$2-$F$2:I$2&gt;=Допущения!$H42)*$F32:I32)</f>
        <v>55556.808192000011</v>
      </c>
      <c r="J40" s="24">
        <f>SUM($F32:J32)-SUMPRODUCT((J$2-$F$2:J$2&gt;=Допущения!$H42)*$F32:J32)</f>
        <v>47698.579701759998</v>
      </c>
      <c r="L40" s="24">
        <f>SUM($F32:L32)-SUMPRODUCT((L$2-$F$2:L$2&gt;=Допущения!$H42)*$F32:L32)</f>
        <v>37123.313015193606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5">
      <c r="A41" s="1"/>
      <c r="B41" s="22" t="s">
        <v>40</v>
      </c>
      <c r="C41" s="22"/>
      <c r="D41" s="23" t="s">
        <v>11</v>
      </c>
      <c r="E41" s="29"/>
      <c r="F41" s="24">
        <f>SUM($F33:F33)-SUMPRODUCT((F$2-$F$2:F$2&gt;=Допущения!$H44)*$F33:F33)</f>
        <v>13080.000000000002</v>
      </c>
      <c r="G41" s="24">
        <f>SUM($F33:G33)-SUMPRODUCT((G$2-$F$2:G$2&gt;=Допущения!$H44)*$F33:G33)</f>
        <v>25789.4</v>
      </c>
      <c r="H41" s="24">
        <f>SUM($F33:H33)-SUMPRODUCT((H$2-$F$2:H$2&gt;=Допущения!$H44)*$F33:H33)</f>
        <v>37805.560000000005</v>
      </c>
      <c r="I41" s="24">
        <f>SUM($F33:I33)-SUMPRODUCT((I$2-$F$2:I$2&gt;=Допущения!$H44)*$F33:I33)</f>
        <v>47803.005120000009</v>
      </c>
      <c r="J41" s="24">
        <f>SUM($F33:J33)-SUMPRODUCT((J$2-$F$2:J$2&gt;=Допущения!$H44)*$F33:J33)</f>
        <v>55601.012313600011</v>
      </c>
      <c r="L41" s="24">
        <f>SUM($F33:L33)-SUMPRODUCT((L$2-$F$2:L$2&gt;=Допущения!$H44)*$F33:L33)</f>
        <v>61007.63063449601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5">
      <c r="A42" s="1"/>
      <c r="B42" s="1"/>
      <c r="C42" s="1"/>
      <c r="D42" s="1"/>
      <c r="E42" s="4"/>
      <c r="F42" s="4"/>
      <c r="G42" s="4"/>
      <c r="H42" s="4"/>
      <c r="I42" s="4"/>
      <c r="J42" s="4"/>
      <c r="L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5">
      <c r="A43" s="1"/>
      <c r="B43" s="1" t="s">
        <v>58</v>
      </c>
      <c r="C43" s="1"/>
      <c r="D43" s="15" t="s">
        <v>11</v>
      </c>
      <c r="E43" s="4"/>
      <c r="F43" s="17">
        <f>SUM(F44:F49)</f>
        <v>20339.400000000001</v>
      </c>
      <c r="G43" s="17">
        <f>SUM(G44:G49)</f>
        <v>40102.517000000007</v>
      </c>
      <c r="H43" s="17">
        <f>SUM(H44:H49)</f>
        <v>58787.645800000013</v>
      </c>
      <c r="I43" s="17">
        <f>SUM(I44:I49)</f>
        <v>67357.672961600023</v>
      </c>
      <c r="J43" s="17">
        <f>SUM(J44:J49)</f>
        <v>72705.227480981353</v>
      </c>
      <c r="L43" s="17">
        <f>SUM(L44:L49)</f>
        <v>67640.700303307967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5">
      <c r="A44" s="1"/>
      <c r="B44" s="22" t="s">
        <v>61</v>
      </c>
      <c r="C44" s="22"/>
      <c r="D44" s="23" t="s">
        <v>11</v>
      </c>
      <c r="E44" s="29"/>
      <c r="F44" s="24">
        <f>F36/Допущения!$H38</f>
        <v>1177.2000000000003</v>
      </c>
      <c r="G44" s="24">
        <f>G36/Допущения!$H38</f>
        <v>2321.0460000000007</v>
      </c>
      <c r="H44" s="24">
        <f>H36/Допущения!$H38</f>
        <v>3402.5004000000004</v>
      </c>
      <c r="I44" s="24">
        <f>I36/Допущения!$H38</f>
        <v>4302.2704608000013</v>
      </c>
      <c r="J44" s="24">
        <f>J36/Допущения!$H38</f>
        <v>5004.0911082240018</v>
      </c>
      <c r="L44" s="24">
        <f>L36/Допущения!$H38</f>
        <v>5490.6867571046423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5">
      <c r="A45" s="1"/>
      <c r="B45" s="22" t="s">
        <v>20</v>
      </c>
      <c r="C45" s="22"/>
      <c r="D45" s="23" t="s">
        <v>11</v>
      </c>
      <c r="E45" s="29"/>
      <c r="F45" s="24">
        <f>F37/Допущения!$H39</f>
        <v>7063.2000000000016</v>
      </c>
      <c r="G45" s="24">
        <f>G37/Допущения!$H39</f>
        <v>13926.276000000003</v>
      </c>
      <c r="H45" s="24">
        <f>H37/Допущения!$H39</f>
        <v>20415.002400000005</v>
      </c>
      <c r="I45" s="24">
        <f>I37/Допущения!$H39</f>
        <v>25813.622764800006</v>
      </c>
      <c r="J45" s="24">
        <f>J37/Допущения!$H39</f>
        <v>30024.546649344011</v>
      </c>
      <c r="L45" s="24">
        <f>L37/Допущения!$H39</f>
        <v>25880.920542627853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5">
      <c r="A46" s="1"/>
      <c r="B46" s="22" t="s">
        <v>147</v>
      </c>
      <c r="C46" s="22"/>
      <c r="D46" s="23" t="s">
        <v>11</v>
      </c>
      <c r="E46" s="29"/>
      <c r="F46" s="24">
        <f>F38/Допущения!$H40</f>
        <v>1635.0000000000002</v>
      </c>
      <c r="G46" s="24">
        <f>G38/Допущения!$H40</f>
        <v>3223.6750000000002</v>
      </c>
      <c r="H46" s="24">
        <f>H38/Допущения!$H40</f>
        <v>4725.6950000000006</v>
      </c>
      <c r="I46" s="24">
        <f>I38/Допущения!$H40</f>
        <v>5975.3756400000011</v>
      </c>
      <c r="J46" s="24">
        <f>J38/Допущения!$H40</f>
        <v>6950.1265392000014</v>
      </c>
      <c r="L46" s="24">
        <f>L38/Допущения!$H40</f>
        <v>7625.9538293120013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5">
      <c r="A47" s="1"/>
      <c r="B47" s="22" t="s">
        <v>42</v>
      </c>
      <c r="C47" s="22"/>
      <c r="D47" s="23" t="s">
        <v>11</v>
      </c>
      <c r="E47" s="29"/>
      <c r="F47" s="24">
        <f>F39/Допущения!$H41</f>
        <v>2180.0000000000005</v>
      </c>
      <c r="G47" s="24">
        <f>G39/Допущения!$H41</f>
        <v>4298.2333333333336</v>
      </c>
      <c r="H47" s="24">
        <f>H39/Допущения!$H41</f>
        <v>6300.9266666666672</v>
      </c>
      <c r="I47" s="24">
        <f>I39/Допущения!$H41</f>
        <v>7967.1675200000018</v>
      </c>
      <c r="J47" s="24">
        <f>J39/Допущения!$H41</f>
        <v>9266.8353856000012</v>
      </c>
      <c r="L47" s="24">
        <f>L39/Допущения!$H41</f>
        <v>10167.938439082669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5">
      <c r="A48" s="1"/>
      <c r="B48" s="22" t="s">
        <v>16</v>
      </c>
      <c r="C48" s="22"/>
      <c r="D48" s="23" t="s">
        <v>11</v>
      </c>
      <c r="E48" s="29"/>
      <c r="F48" s="24">
        <f>F40/Допущения!$H42</f>
        <v>6976</v>
      </c>
      <c r="G48" s="24">
        <f>G40/Допущения!$H42</f>
        <v>13754.34666666667</v>
      </c>
      <c r="H48" s="24">
        <f>H40/Допущения!$H42</f>
        <v>20162.965333333337</v>
      </c>
      <c r="I48" s="24">
        <f>I40/Допущения!$H42</f>
        <v>18518.936064000005</v>
      </c>
      <c r="J48" s="24">
        <f>J40/Допущения!$H42</f>
        <v>15899.526567253333</v>
      </c>
      <c r="L48" s="24">
        <f>L40/Допущения!$H42</f>
        <v>12374.437671731202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5">
      <c r="A49" s="1"/>
      <c r="B49" s="22" t="s">
        <v>40</v>
      </c>
      <c r="C49" s="22"/>
      <c r="D49" s="23" t="s">
        <v>11</v>
      </c>
      <c r="E49" s="29"/>
      <c r="F49" s="24">
        <f>F41/Допущения!$H44</f>
        <v>1308.0000000000002</v>
      </c>
      <c r="G49" s="24">
        <f>G41/Допущения!$H44</f>
        <v>2578.94</v>
      </c>
      <c r="H49" s="24">
        <f>H41/Допущения!$H44</f>
        <v>3780.5560000000005</v>
      </c>
      <c r="I49" s="24">
        <f>I41/Допущения!$H44</f>
        <v>4780.3005120000007</v>
      </c>
      <c r="J49" s="24">
        <f>J41/Допущения!$H44</f>
        <v>5560.1012313600013</v>
      </c>
      <c r="L49" s="24">
        <f>L41/Допущения!$H44</f>
        <v>6100.7630634496008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5">
      <c r="A50" s="1"/>
      <c r="B50" s="1"/>
      <c r="C50" s="1"/>
      <c r="D50" s="1"/>
      <c r="E50" s="4"/>
      <c r="F50" s="4"/>
      <c r="G50" s="4"/>
      <c r="H50" s="4"/>
      <c r="I50" s="4"/>
      <c r="J50" s="4"/>
      <c r="L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5">
      <c r="A51" s="1"/>
      <c r="B51" s="1" t="s">
        <v>59</v>
      </c>
      <c r="C51" s="1"/>
      <c r="D51" s="15" t="s">
        <v>11</v>
      </c>
      <c r="E51" s="4"/>
      <c r="F51" s="17">
        <f>SUM(F52:F57)</f>
        <v>110460.60000000002</v>
      </c>
      <c r="G51" s="17">
        <f>SUM(G52:G57)</f>
        <v>197452.08300000001</v>
      </c>
      <c r="H51" s="17">
        <f>SUM(H52:H57)</f>
        <v>258826.03720000005</v>
      </c>
      <c r="I51" s="17">
        <f>SUM(I52:I57)</f>
        <v>291442.81543840002</v>
      </c>
      <c r="J51" s="17">
        <f>SUM(J52:J57)</f>
        <v>296717.65989341878</v>
      </c>
      <c r="L51" s="17">
        <f>SUM(L52:L57)</f>
        <v>283143.14279907075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"/>
      <c r="B52" s="22" t="s">
        <v>61</v>
      </c>
      <c r="C52" s="22"/>
      <c r="D52" s="23" t="s">
        <v>11</v>
      </c>
      <c r="E52" s="29"/>
      <c r="F52" s="24">
        <f t="shared" ref="F52:J55" si="2">E52+F28-F44</f>
        <v>34138.80000000001</v>
      </c>
      <c r="G52" s="24">
        <f t="shared" si="2"/>
        <v>66133.13400000002</v>
      </c>
      <c r="H52" s="24">
        <f t="shared" si="2"/>
        <v>95174.265600000028</v>
      </c>
      <c r="I52" s="24">
        <f t="shared" si="2"/>
        <v>117865.09696320002</v>
      </c>
      <c r="J52" s="24">
        <f t="shared" si="2"/>
        <v>133915.62527769603</v>
      </c>
      <c r="L52" s="24">
        <f t="shared" ref="L52:L57" si="3">J52+L28-L44</f>
        <v>143022.8079870106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5">
      <c r="A53" s="1"/>
      <c r="B53" s="22" t="s">
        <v>20</v>
      </c>
      <c r="C53" s="22"/>
      <c r="D53" s="23" t="s">
        <v>11</v>
      </c>
      <c r="E53" s="29"/>
      <c r="F53" s="24">
        <f t="shared" si="2"/>
        <v>28252.800000000007</v>
      </c>
      <c r="G53" s="24">
        <f t="shared" si="2"/>
        <v>48641.904000000017</v>
      </c>
      <c r="H53" s="24">
        <f t="shared" si="2"/>
        <v>60670.533600000017</v>
      </c>
      <c r="I53" s="24">
        <f t="shared" si="2"/>
        <v>61850.012659200016</v>
      </c>
      <c r="J53" s="24">
        <f t="shared" si="2"/>
        <v>52880.085432576008</v>
      </c>
      <c r="L53" s="24">
        <f t="shared" si="3"/>
        <v>41597.034356367367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5">
      <c r="A54" s="1"/>
      <c r="B54" s="22" t="s">
        <v>147</v>
      </c>
      <c r="C54" s="22"/>
      <c r="D54" s="23" t="s">
        <v>11</v>
      </c>
      <c r="E54" s="29"/>
      <c r="F54" s="24">
        <f t="shared" si="2"/>
        <v>11445.000000000002</v>
      </c>
      <c r="G54" s="24">
        <f t="shared" si="2"/>
        <v>20930.725000000002</v>
      </c>
      <c r="H54" s="24">
        <f t="shared" si="2"/>
        <v>28221.190000000002</v>
      </c>
      <c r="I54" s="24">
        <f t="shared" si="2"/>
        <v>32243.259480000004</v>
      </c>
      <c r="J54" s="24">
        <f t="shared" si="2"/>
        <v>33091.140134400004</v>
      </c>
      <c r="L54" s="24">
        <f t="shared" si="3"/>
        <v>30871.804625984001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5">
      <c r="A55" s="1"/>
      <c r="B55" s="22" t="s">
        <v>42</v>
      </c>
      <c r="C55" s="22"/>
      <c r="D55" s="23" t="s">
        <v>11</v>
      </c>
      <c r="E55" s="29"/>
      <c r="F55" s="24">
        <f t="shared" si="2"/>
        <v>10900.000000000002</v>
      </c>
      <c r="G55" s="24">
        <f t="shared" si="2"/>
        <v>19311.166666666668</v>
      </c>
      <c r="H55" s="24">
        <f t="shared" si="2"/>
        <v>25026.400000000001</v>
      </c>
      <c r="I55" s="24">
        <f t="shared" si="2"/>
        <v>27056.677600000003</v>
      </c>
      <c r="J55" s="24">
        <f t="shared" si="2"/>
        <v>25587.849408000002</v>
      </c>
      <c r="L55" s="24">
        <f t="shared" si="3"/>
        <v>20826.529289813334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5">
      <c r="A56" s="1"/>
      <c r="B56" s="22" t="s">
        <v>16</v>
      </c>
      <c r="C56" s="22"/>
      <c r="D56" s="23" t="s">
        <v>11</v>
      </c>
      <c r="E56" s="29"/>
      <c r="F56" s="24">
        <f t="shared" ref="F56:J57" si="4">E56+F32-F48</f>
        <v>13952</v>
      </c>
      <c r="G56" s="24">
        <f t="shared" si="4"/>
        <v>20532.693333333336</v>
      </c>
      <c r="H56" s="24">
        <f t="shared" si="4"/>
        <v>19595.584000000006</v>
      </c>
      <c r="I56" s="24">
        <f t="shared" si="4"/>
        <v>17072.560128000001</v>
      </c>
      <c r="J56" s="24">
        <f t="shared" si="4"/>
        <v>13649.84507050667</v>
      </c>
      <c r="L56" s="24">
        <f t="shared" si="3"/>
        <v>9925.9967122090693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5">
      <c r="A57" s="1"/>
      <c r="B57" s="22" t="s">
        <v>40</v>
      </c>
      <c r="C57" s="22"/>
      <c r="D57" s="23" t="s">
        <v>11</v>
      </c>
      <c r="E57" s="29"/>
      <c r="F57" s="24">
        <f t="shared" si="4"/>
        <v>11772.000000000002</v>
      </c>
      <c r="G57" s="24">
        <f t="shared" si="4"/>
        <v>21902.460000000003</v>
      </c>
      <c r="H57" s="24">
        <f t="shared" si="4"/>
        <v>30138.064000000002</v>
      </c>
      <c r="I57" s="24">
        <f t="shared" si="4"/>
        <v>35355.208608000001</v>
      </c>
      <c r="J57" s="24">
        <f t="shared" si="4"/>
        <v>37593.114570240003</v>
      </c>
      <c r="L57" s="24">
        <f t="shared" si="3"/>
        <v>36898.9698276864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5">
      <c r="A58" s="1"/>
      <c r="B58" s="1"/>
      <c r="C58" s="1"/>
      <c r="D58" s="1"/>
      <c r="E58" s="4"/>
      <c r="F58" s="17"/>
      <c r="G58" s="17"/>
      <c r="H58" s="17"/>
      <c r="I58" s="17"/>
      <c r="J58" s="17"/>
      <c r="L58" s="1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5">
      <c r="A59" s="1"/>
      <c r="B59" s="1"/>
      <c r="C59" s="1"/>
      <c r="D59" s="1"/>
      <c r="E59" s="4"/>
      <c r="F59" s="17"/>
      <c r="G59" s="17"/>
      <c r="H59" s="17"/>
      <c r="I59" s="17"/>
      <c r="J59" s="17"/>
      <c r="L59" s="1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5">
      <c r="A60" s="1"/>
      <c r="B60" s="13" t="s">
        <v>60</v>
      </c>
      <c r="C60" s="13"/>
      <c r="D60" s="13"/>
      <c r="E60" s="14"/>
      <c r="F60" s="14"/>
      <c r="G60" s="14"/>
      <c r="H60" s="14"/>
      <c r="I60" s="14"/>
      <c r="J60" s="14"/>
      <c r="L60" s="1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5">
      <c r="A61" s="1"/>
      <c r="B61" s="1"/>
      <c r="C61" s="1"/>
      <c r="D61" s="1"/>
      <c r="E61" s="4"/>
      <c r="F61" s="17"/>
      <c r="G61" s="17"/>
      <c r="H61" s="17"/>
      <c r="I61" s="17"/>
      <c r="J61" s="17"/>
      <c r="L61" s="1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5">
      <c r="A62" s="1"/>
      <c r="B62" s="1" t="s">
        <v>58</v>
      </c>
      <c r="C62" s="1"/>
      <c r="D62" s="15" t="s">
        <v>11</v>
      </c>
      <c r="E62" s="4"/>
      <c r="F62" s="17">
        <f>SUM(F63:F69)</f>
        <v>95972.271428571417</v>
      </c>
      <c r="G62" s="17">
        <f>SUM(G63:G69)</f>
        <v>95972.271428571417</v>
      </c>
      <c r="H62" s="17">
        <f>SUM(H63:H69)</f>
        <v>81894.271428571432</v>
      </c>
      <c r="I62" s="17">
        <f>SUM(I63:I69)</f>
        <v>44081.271428571425</v>
      </c>
      <c r="J62" s="17">
        <f>SUM(J63:J69)</f>
        <v>33893.771428571425</v>
      </c>
      <c r="L62" s="17">
        <f>SUM(L63:L69)</f>
        <v>26663.571428571428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5">
      <c r="A63" s="1"/>
      <c r="B63" s="22" t="s">
        <v>61</v>
      </c>
      <c r="C63" s="22"/>
      <c r="D63" s="23" t="s">
        <v>11</v>
      </c>
      <c r="E63" s="29"/>
      <c r="F63" s="24">
        <f>IF(F$2-$E$2&lt;=Допущения!$I38,Допущения!$F38/Допущения!$I38,0)</f>
        <v>26663.571428571428</v>
      </c>
      <c r="G63" s="24">
        <f>IF(G$2-$E$2&lt;=Допущения!$I38,Допущения!$F38/Допущения!$I38,0)</f>
        <v>26663.571428571428</v>
      </c>
      <c r="H63" s="24">
        <f>IF(H$2-$E$2&lt;=Допущения!$I38,Допущения!$F38/Допущения!$I38,0)</f>
        <v>26663.571428571428</v>
      </c>
      <c r="I63" s="24">
        <f>IF(I$2-$E$2&lt;=Допущения!$I38,Допущения!$F38/Допущения!$I38,0)</f>
        <v>26663.571428571428</v>
      </c>
      <c r="J63" s="24">
        <f>IF(J$2-$E$2&lt;=Допущения!$I38,Допущения!$F38/Допущения!$I38,0)</f>
        <v>26663.571428571428</v>
      </c>
      <c r="L63" s="24">
        <f>IF(L$2-$E$2&lt;=Допущения!$I38,Допущения!$F38/Допущения!$I38,0)</f>
        <v>26663.571428571428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5">
      <c r="A64" s="1"/>
      <c r="B64" s="22" t="s">
        <v>20</v>
      </c>
      <c r="C64" s="22"/>
      <c r="D64" s="23" t="s">
        <v>11</v>
      </c>
      <c r="E64" s="29"/>
      <c r="F64" s="24">
        <f>IF(F$2-$E$2&lt;=Допущения!$I39,Допущения!$F39/Допущения!$I39,0)</f>
        <v>18063.666666666668</v>
      </c>
      <c r="G64" s="24">
        <f>IF(G$2-$E$2&lt;=Допущения!$I39,Допущения!$F39/Допущения!$I39,0)</f>
        <v>18063.666666666668</v>
      </c>
      <c r="H64" s="24">
        <f>IF(H$2-$E$2&lt;=Допущения!$I39,Допущения!$F39/Допущения!$I39,0)</f>
        <v>18063.666666666668</v>
      </c>
      <c r="I64" s="24">
        <f>IF(I$2-$E$2&lt;=Допущения!$I39,Допущения!$F39/Допущения!$I39,0)</f>
        <v>0</v>
      </c>
      <c r="J64" s="24">
        <f>IF(J$2-$E$2&lt;=Допущения!$I39,Допущения!$F39/Допущения!$I39,0)</f>
        <v>0</v>
      </c>
      <c r="L64" s="24">
        <f>IF(L$2-$E$2&lt;=Допущения!$I39,Допущения!$F39/Допущения!$I39,0)</f>
        <v>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5">
      <c r="A65" s="1"/>
      <c r="B65" s="22" t="s">
        <v>147</v>
      </c>
      <c r="C65" s="22"/>
      <c r="D65" s="23" t="s">
        <v>11</v>
      </c>
      <c r="E65" s="29"/>
      <c r="F65" s="24">
        <f>IF(F$2-$E$2&lt;=Допущения!$I40,Допущения!$F40/Допущения!$I40,0)</f>
        <v>12865.333333333334</v>
      </c>
      <c r="G65" s="24">
        <f>IF(G$2-$E$2&lt;=Допущения!$I40,Допущения!$F40/Допущения!$I40,0)</f>
        <v>12865.333333333334</v>
      </c>
      <c r="H65" s="24">
        <f>IF(H$2-$E$2&lt;=Допущения!$I40,Допущения!$F40/Допущения!$I40,0)</f>
        <v>12865.333333333334</v>
      </c>
      <c r="I65" s="24">
        <f>IF(I$2-$E$2&lt;=Допущения!$I40,Допущения!$F40/Допущения!$I40,0)</f>
        <v>0</v>
      </c>
      <c r="J65" s="24">
        <f>IF(J$2-$E$2&lt;=Допущения!$I40,Допущения!$F40/Допущения!$I40,0)</f>
        <v>0</v>
      </c>
      <c r="L65" s="24">
        <f>IF(L$2-$E$2&lt;=Допущения!$I40,Допущения!$F40/Допущения!$I40,0)</f>
        <v>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5">
      <c r="A66" s="1"/>
      <c r="B66" s="22" t="s">
        <v>42</v>
      </c>
      <c r="C66" s="22"/>
      <c r="D66" s="23" t="s">
        <v>11</v>
      </c>
      <c r="E66" s="29"/>
      <c r="F66" s="24">
        <f>IF(F$2-$E$2&lt;=Допущения!$I41,Допущения!$F41/Допущения!$I41,0)</f>
        <v>6884</v>
      </c>
      <c r="G66" s="24">
        <f>IF(G$2-$E$2&lt;=Допущения!$I41,Допущения!$F41/Допущения!$I41,0)</f>
        <v>6884</v>
      </c>
      <c r="H66" s="24">
        <f>IF(H$2-$E$2&lt;=Допущения!$I41,Допущения!$F41/Допущения!$I41,0)</f>
        <v>6884</v>
      </c>
      <c r="I66" s="24">
        <f>IF(I$2-$E$2&lt;=Допущения!$I41,Допущения!$F41/Допущения!$I41,0)</f>
        <v>0</v>
      </c>
      <c r="J66" s="24">
        <f>IF(J$2-$E$2&lt;=Допущения!$I41,Допущения!$F41/Допущения!$I41,0)</f>
        <v>0</v>
      </c>
      <c r="L66" s="24">
        <f>IF(L$2-$E$2&lt;=Допущения!$I41,Допущения!$F41/Допущения!$I41,0)</f>
        <v>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5">
      <c r="A67" s="1"/>
      <c r="B67" s="22" t="s">
        <v>16</v>
      </c>
      <c r="C67" s="22"/>
      <c r="D67" s="23" t="s">
        <v>11</v>
      </c>
      <c r="E67" s="29"/>
      <c r="F67" s="24">
        <f>IF(F$2-$E$2&lt;=Допущения!$I42,Допущения!$F42/Допущения!$I42,0)</f>
        <v>14078</v>
      </c>
      <c r="G67" s="24">
        <f>IF(G$2-$E$2&lt;=Допущения!$I42,Допущения!$F42/Допущения!$I42,0)</f>
        <v>14078</v>
      </c>
      <c r="H67" s="24">
        <f>IF(H$2-$E$2&lt;=Допущения!$I42,Допущения!$F42/Допущения!$I42,0)</f>
        <v>0</v>
      </c>
      <c r="I67" s="24">
        <f>IF(I$2-$E$2&lt;=Допущения!$I42,Допущения!$F42/Допущения!$I42,0)</f>
        <v>0</v>
      </c>
      <c r="J67" s="24">
        <f>IF(J$2-$E$2&lt;=Допущения!$I42,Допущения!$F42/Допущения!$I42,0)</f>
        <v>0</v>
      </c>
      <c r="L67" s="24">
        <f>IF(L$2-$E$2&lt;=Допущения!$I42,Допущения!$F42/Допущения!$I42,0)</f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5">
      <c r="A68" s="1"/>
      <c r="B68" s="22" t="s">
        <v>43</v>
      </c>
      <c r="C68" s="22"/>
      <c r="D68" s="23" t="s">
        <v>11</v>
      </c>
      <c r="E68" s="29"/>
      <c r="F68" s="24">
        <f>IF(F$2-$E$2&lt;=Допущения!$I43,Допущения!$F43/Допущения!$I43,0)</f>
        <v>7230.2</v>
      </c>
      <c r="G68" s="24">
        <f>IF(G$2-$E$2&lt;=Допущения!$I43,Допущения!$F43/Допущения!$I43,0)</f>
        <v>7230.2</v>
      </c>
      <c r="H68" s="24">
        <f>IF(H$2-$E$2&lt;=Допущения!$I43,Допущения!$F43/Допущения!$I43,0)</f>
        <v>7230.2</v>
      </c>
      <c r="I68" s="24">
        <f>IF(I$2-$E$2&lt;=Допущения!$I43,Допущения!$F43/Допущения!$I43,0)</f>
        <v>7230.2</v>
      </c>
      <c r="J68" s="24">
        <f>IF(J$2-$E$2&lt;=Допущения!$I43,Допущения!$F43/Допущения!$I43,0)</f>
        <v>7230.2</v>
      </c>
      <c r="L68" s="24">
        <f>IF(L$2-$E$2&lt;=Допущения!$I43,Допущения!$F43/Допущения!$I43,0)</f>
        <v>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5">
      <c r="A69" s="1"/>
      <c r="B69" s="22" t="s">
        <v>40</v>
      </c>
      <c r="C69" s="1"/>
      <c r="D69" s="23" t="s">
        <v>11</v>
      </c>
      <c r="E69" s="4"/>
      <c r="F69" s="24">
        <f>IF(F$2-$E$2&lt;=Допущения!$I44,Допущения!$F44/Допущения!$I44,0)</f>
        <v>10187.5</v>
      </c>
      <c r="G69" s="24">
        <f>IF(G$2-$E$2&lt;=Допущения!$I44,Допущения!$F44/Допущения!$I44,0)</f>
        <v>10187.5</v>
      </c>
      <c r="H69" s="24">
        <f>IF(H$2-$E$2&lt;=Допущения!$I44,Допущения!$F44/Допущения!$I44,0)</f>
        <v>10187.5</v>
      </c>
      <c r="I69" s="24">
        <f>IF(I$2-$E$2&lt;=Допущения!$I44,Допущения!$F44/Допущения!$I44,0)</f>
        <v>10187.5</v>
      </c>
      <c r="J69" s="24">
        <f>IF(J$2-$E$2&lt;=Допущения!$I44,Допущения!$F44/Допущения!$I44,0)</f>
        <v>0</v>
      </c>
      <c r="L69" s="24">
        <f>IF(L$2-$E$2&lt;=Допущения!$I44,Допущения!$F44/Допущения!$I44,0)</f>
        <v>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5">
      <c r="A70" s="1"/>
      <c r="B70" s="1"/>
      <c r="C70" s="1"/>
      <c r="D70" s="1"/>
      <c r="E70" s="4"/>
      <c r="F70" s="17"/>
      <c r="G70" s="17"/>
      <c r="H70" s="17"/>
      <c r="I70" s="17"/>
      <c r="J70" s="17"/>
      <c r="L70" s="1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5">
      <c r="A71" s="1"/>
      <c r="B71" s="13" t="s">
        <v>62</v>
      </c>
      <c r="C71" s="13"/>
      <c r="D71" s="13" t="s">
        <v>11</v>
      </c>
      <c r="E71" s="14"/>
      <c r="F71" s="14"/>
      <c r="G71" s="14"/>
      <c r="H71" s="14"/>
      <c r="I71" s="14"/>
      <c r="J71" s="14"/>
      <c r="L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5">
      <c r="E72" s="12"/>
      <c r="F72" s="12"/>
      <c r="G72" s="12"/>
      <c r="H72" s="12"/>
      <c r="I72" s="12"/>
      <c r="J72" s="12"/>
      <c r="L72" s="12"/>
    </row>
    <row r="73" spans="1:27" ht="15.75" customHeight="1" x14ac:dyDescent="0.35">
      <c r="A73" s="1"/>
      <c r="B73" s="1" t="s">
        <v>63</v>
      </c>
      <c r="C73" s="1"/>
      <c r="D73" s="15" t="s">
        <v>11</v>
      </c>
      <c r="E73" s="16">
        <v>183594</v>
      </c>
      <c r="F73" s="17">
        <f>F162*Допущения!$X$7</f>
        <v>167281.4727575976</v>
      </c>
      <c r="G73" s="17">
        <f>G162*Допущения!$X$7</f>
        <v>192373.69367123721</v>
      </c>
      <c r="H73" s="17">
        <f>H162*Допущения!$X$7</f>
        <v>211611.063038361</v>
      </c>
      <c r="I73" s="17">
        <f>I162*Допущения!$X$7</f>
        <v>226423.83745104625</v>
      </c>
      <c r="J73" s="17">
        <f>J162*Допущения!$X$7</f>
        <v>237745.02932359857</v>
      </c>
      <c r="L73" s="17">
        <f>L162*Допущения!$X$7</f>
        <v>244877.3802033065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5">
      <c r="A74" s="1"/>
      <c r="B74" s="1" t="s">
        <v>64</v>
      </c>
      <c r="C74" s="1"/>
      <c r="D74" s="15" t="s">
        <v>11</v>
      </c>
      <c r="E74" s="4"/>
      <c r="F74" s="17">
        <f>(SUM($E73:F73)-SUMPRODUCT((F$2-$E$2:F$2&gt;=Допущения!$X$6)*$E73:F73))/Допущения!$X$6</f>
        <v>175437.73637879879</v>
      </c>
      <c r="G74" s="17">
        <f>(SUM($E73:G73)-SUMPRODUCT((G$2-$E$2:G$2&gt;=Допущения!$X$6)*$E73:G73))/Допущения!$X$6</f>
        <v>179827.58321441739</v>
      </c>
      <c r="H74" s="17">
        <f>(SUM($E73:H73)-SUMPRODUCT((H$2-$E$2:H$2&gt;=Допущения!$X$6)*$E73:H73))/Допущения!$X$6</f>
        <v>201992.37835479912</v>
      </c>
      <c r="I74" s="17">
        <f>(SUM($E73:I73)-SUMPRODUCT((I$2-$E$2:I$2&gt;=Допущения!$X$6)*$E73:I73))/Допущения!$X$6</f>
        <v>219017.45024470362</v>
      </c>
      <c r="J74" s="17">
        <f>(SUM($E73:J73)-SUMPRODUCT((J$2-$E$2:J$2&gt;=Допущения!$X$6)*$E73:J73))/Допущения!$X$6</f>
        <v>232084.43338732241</v>
      </c>
      <c r="L74" s="17">
        <f>(SUM($E73:L73)-SUMPRODUCT((L$2-$E$2:L$2&gt;=Допущения!$X$6)*$E73:L73))/Допущения!$X$6</f>
        <v>241311.20476345252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"/>
      <c r="B75" s="1"/>
      <c r="C75" s="1"/>
      <c r="D75" s="15"/>
      <c r="E75" s="4"/>
      <c r="F75" s="17"/>
      <c r="G75" s="17"/>
      <c r="H75" s="17"/>
      <c r="I75" s="17"/>
      <c r="J75" s="17"/>
      <c r="L75" s="1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"/>
      <c r="B76" s="1"/>
      <c r="C76" s="1"/>
      <c r="D76" s="1"/>
      <c r="E76" s="4"/>
      <c r="F76" s="4"/>
      <c r="G76" s="4"/>
      <c r="H76" s="4"/>
      <c r="I76" s="4"/>
      <c r="J76" s="4"/>
      <c r="L76" s="4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"/>
      <c r="B77" s="13" t="s">
        <v>65</v>
      </c>
      <c r="C77" s="13"/>
      <c r="D77" s="13"/>
      <c r="E77" s="14"/>
      <c r="F77" s="14"/>
      <c r="G77" s="14"/>
      <c r="H77" s="14"/>
      <c r="I77" s="14"/>
      <c r="J77" s="14"/>
      <c r="L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"/>
      <c r="B78" s="30"/>
      <c r="C78" s="30"/>
      <c r="D78" s="30"/>
      <c r="E78" s="31"/>
      <c r="F78" s="32"/>
      <c r="G78" s="32"/>
      <c r="H78" s="32"/>
      <c r="I78" s="32"/>
      <c r="J78" s="32"/>
      <c r="L78" s="3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"/>
      <c r="B79" s="1" t="s">
        <v>63</v>
      </c>
      <c r="C79" s="30"/>
      <c r="D79" s="15" t="s">
        <v>11</v>
      </c>
      <c r="E79" s="31"/>
      <c r="F79" s="17">
        <f>MAX(Допущения!$X$5-(F151+F135+F139+F145+F73-F74+F144),0)</f>
        <v>0</v>
      </c>
      <c r="G79" s="17">
        <f>MAX(Допущения!$X$5-(G151+G135+G139+G145+G73-G74+G144),0)</f>
        <v>0</v>
      </c>
      <c r="H79" s="17">
        <f>MAX(Допущения!$X$5-(H151+H135+H139+H145+H73-H74+H144),0)</f>
        <v>0</v>
      </c>
      <c r="I79" s="17">
        <f>MAX(Допущения!$X$5-(I151+I135+I139+I145+I73-I74+I144),0)</f>
        <v>0</v>
      </c>
      <c r="J79" s="17">
        <f>MAX(Допущения!$X$5-(J151+J135+J139+J145+J73-J74+J144),0)</f>
        <v>0</v>
      </c>
      <c r="L79" s="17">
        <f>MAX(Допущения!$X$5-(L151+L135+L139+L145+L73-L74+L144),0)</f>
        <v>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"/>
      <c r="B80" s="1" t="s">
        <v>64</v>
      </c>
      <c r="C80" s="30"/>
      <c r="D80" s="15" t="s">
        <v>11</v>
      </c>
      <c r="E80" s="31"/>
      <c r="F80" s="17">
        <f>(SUM($E79:E79)-SUMPRODUCT((F$2-1-$F$2:F$2&gt;=Допущения!$X$6)*$E79:E79))/Допущения!$X$6</f>
        <v>0</v>
      </c>
      <c r="G80" s="17">
        <f>(SUM($E79:F79)-SUMPRODUCT((G$2-1-$F$2:G$2&gt;=Допущения!$X$6)*$E79:F79))/Допущения!$X$6</f>
        <v>0</v>
      </c>
      <c r="H80" s="17">
        <f>(SUM($E79:G79)-SUMPRODUCT((H$2-1-$F$2:H$2&gt;=Допущения!$X$6)*$E79:G79))/Допущения!$X$6</f>
        <v>0</v>
      </c>
      <c r="I80" s="17">
        <f>(SUM($E79:H79)-SUMPRODUCT((I$2-1-$F$2:I$2&gt;=Допущения!$X$6)*$E79:H79))/Допущения!$X$6</f>
        <v>0</v>
      </c>
      <c r="J80" s="17">
        <f>(SUM($E79:I79)-SUMPRODUCT((J$2-1-$F$2:J$2&gt;=Допущения!$X$6)*$E79:I79))/Допущения!$X$6</f>
        <v>0</v>
      </c>
      <c r="L80" s="17">
        <v>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"/>
      <c r="B81" s="30"/>
      <c r="C81" s="30"/>
      <c r="D81" s="30"/>
      <c r="E81" s="31"/>
      <c r="F81" s="32"/>
      <c r="G81" s="32"/>
      <c r="H81" s="32"/>
      <c r="I81" s="32"/>
      <c r="J81" s="32"/>
      <c r="L81" s="3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"/>
      <c r="B82" s="13" t="s">
        <v>165</v>
      </c>
      <c r="C82" s="13"/>
      <c r="D82" s="13"/>
      <c r="E82" s="14"/>
      <c r="F82" s="14"/>
      <c r="G82" s="14"/>
      <c r="H82" s="14"/>
      <c r="I82" s="14"/>
      <c r="J82" s="14"/>
      <c r="L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"/>
      <c r="B83" s="30"/>
      <c r="C83" s="30"/>
      <c r="D83" s="30"/>
      <c r="E83" s="31"/>
      <c r="F83" s="32"/>
      <c r="G83" s="32"/>
      <c r="H83" s="32"/>
      <c r="I83" s="32"/>
      <c r="J83" s="32"/>
      <c r="L83" s="3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"/>
      <c r="B84" s="1" t="s">
        <v>166</v>
      </c>
      <c r="C84" s="30"/>
      <c r="D84" s="15" t="s">
        <v>11</v>
      </c>
      <c r="E84" s="31"/>
      <c r="F84" s="17">
        <v>100000</v>
      </c>
      <c r="G84" s="17">
        <v>90000</v>
      </c>
      <c r="H84" s="17">
        <v>80000</v>
      </c>
      <c r="I84" s="17">
        <v>70000</v>
      </c>
      <c r="J84" s="17">
        <v>60000</v>
      </c>
      <c r="L84" s="17">
        <v>30000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"/>
      <c r="B85" s="1" t="s">
        <v>153</v>
      </c>
      <c r="C85" s="30"/>
      <c r="D85" s="15" t="s">
        <v>11</v>
      </c>
      <c r="E85" s="16">
        <v>576463</v>
      </c>
      <c r="F85" s="17">
        <f>E85+F84-F86</f>
        <v>657247.56666666665</v>
      </c>
      <c r="G85" s="17">
        <f>F85+G84-G86</f>
        <v>725339.31444444438</v>
      </c>
      <c r="H85" s="17">
        <f>G85+H84-H86</f>
        <v>781161.33729629626</v>
      </c>
      <c r="I85" s="17">
        <f>H85+I84-I86</f>
        <v>825122.62605308637</v>
      </c>
      <c r="J85" s="17">
        <f>I85+J84-J86</f>
        <v>857618.53851798351</v>
      </c>
      <c r="L85" s="17">
        <f>J85+L84-L86</f>
        <v>859031.25390071736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"/>
      <c r="B86" s="1" t="s">
        <v>168</v>
      </c>
      <c r="C86" s="30"/>
      <c r="D86" s="15" t="s">
        <v>11</v>
      </c>
      <c r="E86" s="16"/>
      <c r="F86" s="17">
        <f>E85/Допущения!$H$38</f>
        <v>19215.433333333334</v>
      </c>
      <c r="G86" s="17">
        <f>F85/Допущения!$H$38</f>
        <v>21908.252222222221</v>
      </c>
      <c r="H86" s="17">
        <f>G85/Допущения!$H$38</f>
        <v>24177.977148148148</v>
      </c>
      <c r="I86" s="17">
        <f>H85/Допущения!$H$38</f>
        <v>26038.711243209877</v>
      </c>
      <c r="J86" s="17">
        <f>I85/Допущения!$H$38</f>
        <v>27504.087535102877</v>
      </c>
      <c r="L86" s="17">
        <f>J85/Допущения!$H$38</f>
        <v>28587.284617266116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"/>
      <c r="B87" s="71" t="s">
        <v>167</v>
      </c>
      <c r="C87" s="30"/>
      <c r="D87" s="15" t="s">
        <v>11</v>
      </c>
      <c r="E87" s="31"/>
      <c r="F87" s="72">
        <f>F85*Допущения!$E$22</f>
        <v>98587.134999999995</v>
      </c>
      <c r="G87" s="72">
        <f>G85*Допущения!$E$22</f>
        <v>108800.89716666665</v>
      </c>
      <c r="H87" s="72">
        <f>H85*Допущения!$E$22</f>
        <v>117174.20059444444</v>
      </c>
      <c r="I87" s="72">
        <f>I85*Допущения!$E$22</f>
        <v>123768.39390796295</v>
      </c>
      <c r="J87" s="72">
        <f>J85*Допущения!$E$22</f>
        <v>128642.78077769752</v>
      </c>
      <c r="L87" s="72">
        <f>L85*Допущения!$E$22</f>
        <v>128854.6880851076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"/>
      <c r="B88" s="30"/>
      <c r="C88" s="30"/>
      <c r="D88" s="30"/>
      <c r="E88" s="31"/>
      <c r="F88" s="32"/>
      <c r="G88" s="32"/>
      <c r="H88" s="32"/>
      <c r="I88" s="32"/>
      <c r="J88" s="32"/>
      <c r="L88" s="3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"/>
      <c r="B89" s="10" t="s">
        <v>66</v>
      </c>
      <c r="C89" s="10"/>
      <c r="D89" s="10"/>
      <c r="E89" s="11"/>
      <c r="F89" s="11"/>
      <c r="G89" s="11"/>
      <c r="H89" s="11"/>
      <c r="I89" s="11"/>
      <c r="J89" s="11"/>
      <c r="L89" s="1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"/>
      <c r="B90" s="1"/>
      <c r="C90" s="1"/>
      <c r="D90" s="1"/>
      <c r="E90" s="4"/>
      <c r="F90" s="4"/>
      <c r="G90" s="4"/>
      <c r="H90" s="4"/>
      <c r="I90" s="4"/>
      <c r="J90" s="4"/>
      <c r="L90" s="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"/>
      <c r="B91" s="1" t="s">
        <v>67</v>
      </c>
      <c r="C91" s="1"/>
      <c r="D91" s="15" t="s">
        <v>11</v>
      </c>
      <c r="E91" s="16">
        <v>3145859</v>
      </c>
      <c r="F91" s="17">
        <f t="shared" ref="F91:L91" si="5">F$12</f>
        <v>3703449.8366433815</v>
      </c>
      <c r="G91" s="17">
        <f t="shared" si="5"/>
        <v>4258967.3121398883</v>
      </c>
      <c r="H91" s="17">
        <f t="shared" si="5"/>
        <v>4684864.043353878</v>
      </c>
      <c r="I91" s="17">
        <f t="shared" si="5"/>
        <v>5012804.5263886498</v>
      </c>
      <c r="J91" s="17">
        <f t="shared" si="5"/>
        <v>5263444.7527080821</v>
      </c>
      <c r="L91" s="17">
        <f t="shared" si="5"/>
        <v>5421348.0952893244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"/>
      <c r="B92" s="1"/>
      <c r="C92" s="1"/>
      <c r="D92" s="1"/>
      <c r="E92" s="16"/>
      <c r="F92" s="17"/>
      <c r="G92" s="4"/>
      <c r="H92" s="4"/>
      <c r="I92" s="4"/>
      <c r="J92" s="4"/>
      <c r="L92" s="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"/>
      <c r="B93" s="1" t="s">
        <v>68</v>
      </c>
      <c r="C93" s="1"/>
      <c r="D93" s="15" t="s">
        <v>11</v>
      </c>
      <c r="E93" s="16">
        <f>$E$96*Допущения!Q5</f>
        <v>-1795253.345</v>
      </c>
      <c r="F93" s="17">
        <f>-F$91*(1-Допущения!F$6)*Допущения!$Q5</f>
        <v>-2097078.469999315</v>
      </c>
      <c r="G93" s="17">
        <f>-G$91*(1-Допущения!G$6)*Допущения!$Q5</f>
        <v>-2411640.2404992119</v>
      </c>
      <c r="H93" s="17">
        <f>-H$91*(1-Допущения!H$6)*Допущения!$Q5</f>
        <v>-2652804.2645491334</v>
      </c>
      <c r="I93" s="17">
        <f>-I$91*(1-Допущения!I$6)*Допущения!$Q5</f>
        <v>-2838500.5630675731</v>
      </c>
      <c r="J93" s="17">
        <f>-J$91*(1-Допущения!J$6)*Допущения!$Q5</f>
        <v>-2980425.5912209516</v>
      </c>
      <c r="L93" s="17">
        <f>-L$91*(1-Допущения!L$6)*Допущения!$Q5</f>
        <v>-3069838.3589575803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"/>
      <c r="B94" s="1" t="s">
        <v>69</v>
      </c>
      <c r="C94" s="1"/>
      <c r="D94" s="15" t="s">
        <v>11</v>
      </c>
      <c r="E94" s="16">
        <f>$E$96*Допущения!Q6</f>
        <v>-190225.52</v>
      </c>
      <c r="F94" s="17">
        <f>-F$91*(1-Допущения!F$6)*Допущения!$Q6</f>
        <v>-222206.9901986029</v>
      </c>
      <c r="G94" s="17">
        <f>-G$91*(1-Допущения!G$6)*Допущения!$Q6</f>
        <v>-255538.03872839332</v>
      </c>
      <c r="H94" s="17">
        <f>-H$91*(1-Допущения!H$6)*Допущения!$Q6</f>
        <v>-281091.8426012327</v>
      </c>
      <c r="I94" s="17">
        <f>-I$91*(1-Допущения!I$6)*Допущения!$Q6</f>
        <v>-300768.271583319</v>
      </c>
      <c r="J94" s="17">
        <f>-J$91*(1-Допущения!J$6)*Допущения!$Q6</f>
        <v>-315806.68516248494</v>
      </c>
      <c r="L94" s="17">
        <f>-L$91*(1-Допущения!L$6)*Допущения!$Q6</f>
        <v>-325280.88571735949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"/>
      <c r="B95" s="1" t="s">
        <v>16</v>
      </c>
      <c r="C95" s="1"/>
      <c r="D95" s="15" t="s">
        <v>11</v>
      </c>
      <c r="E95" s="16">
        <f>$E$96*Допущения!Q7</f>
        <v>-392340.13499999995</v>
      </c>
      <c r="F95" s="17">
        <f>-F$91*(1-Допущения!F$6)*Допущения!$Q7</f>
        <v>-458301.91728461842</v>
      </c>
      <c r="G95" s="17">
        <f>-G$91*(1-Допущения!G$6)*Допущения!$Q7</f>
        <v>-527047.20487731113</v>
      </c>
      <c r="H95" s="17">
        <f>-H$91*(1-Допущения!H$6)*Допущения!$Q7</f>
        <v>-579751.92536504229</v>
      </c>
      <c r="I95" s="17">
        <f>-I$91*(1-Допущения!I$6)*Допущения!$Q7</f>
        <v>-620334.56014059542</v>
      </c>
      <c r="J95" s="17">
        <f>-J$91*(1-Допущения!J$6)*Допущения!$Q7</f>
        <v>-651351.28814762516</v>
      </c>
      <c r="L95" s="17">
        <f>-L$91*(1-Допущения!L$6)*Допущения!$Q7</f>
        <v>-670891.82679205388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"/>
      <c r="B96" s="25" t="s">
        <v>70</v>
      </c>
      <c r="C96" s="25"/>
      <c r="D96" s="26" t="s">
        <v>11</v>
      </c>
      <c r="E96" s="28">
        <v>-2377819</v>
      </c>
      <c r="F96" s="28">
        <f>SUM(F93:F95)</f>
        <v>-2777587.3774825367</v>
      </c>
      <c r="G96" s="28">
        <f>SUM(G93:G95)</f>
        <v>-3194225.4841049165</v>
      </c>
      <c r="H96" s="28">
        <f>SUM(H93:H95)</f>
        <v>-3513648.0325154085</v>
      </c>
      <c r="I96" s="28">
        <f>SUM(I93:I95)</f>
        <v>-3759603.3947914876</v>
      </c>
      <c r="J96" s="28">
        <f>SUM(J93:J95)</f>
        <v>-3947583.5645310618</v>
      </c>
      <c r="L96" s="28">
        <f>SUM(L93:L95)</f>
        <v>-4066011.0714669935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"/>
      <c r="B97" s="22" t="s">
        <v>71</v>
      </c>
      <c r="C97" s="22"/>
      <c r="D97" s="23" t="s">
        <v>8</v>
      </c>
      <c r="E97" s="33">
        <f t="shared" ref="E97:J97" si="6">(E91+E96)/E91</f>
        <v>0.24414317361331198</v>
      </c>
      <c r="F97" s="33">
        <f t="shared" si="6"/>
        <v>0.24999999999999983</v>
      </c>
      <c r="G97" s="33">
        <f t="shared" si="6"/>
        <v>0.24999999999999994</v>
      </c>
      <c r="H97" s="33">
        <f t="shared" si="6"/>
        <v>0.25</v>
      </c>
      <c r="I97" s="33">
        <f t="shared" si="6"/>
        <v>0.24999999999999994</v>
      </c>
      <c r="J97" s="33">
        <f t="shared" si="6"/>
        <v>0.24999999999999994</v>
      </c>
      <c r="L97" s="33">
        <f>(L91+L96)/L91</f>
        <v>0.24999999999999994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"/>
      <c r="B98" s="1"/>
      <c r="C98" s="1"/>
      <c r="D98" s="1"/>
      <c r="E98" s="4"/>
      <c r="F98" s="4"/>
      <c r="G98" s="4"/>
      <c r="H98" s="4"/>
      <c r="I98" s="4"/>
      <c r="J98" s="4"/>
      <c r="L98" s="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"/>
      <c r="B99" s="1" t="s">
        <v>72</v>
      </c>
      <c r="C99" s="1"/>
      <c r="D99" s="15" t="s">
        <v>11</v>
      </c>
      <c r="E99" s="16">
        <v>-266357</v>
      </c>
      <c r="F99" s="17">
        <f>$E$99*F$5*F6</f>
        <v>-342588.37339999998</v>
      </c>
      <c r="G99" s="17">
        <f t="shared" ref="G99:L99" si="7">$E$99*G$5*G6</f>
        <v>-417615.2271746</v>
      </c>
      <c r="H99" s="17">
        <f t="shared" si="7"/>
        <v>-477751.81988774246</v>
      </c>
      <c r="I99" s="17">
        <f t="shared" si="7"/>
        <v>-531642.22517107986</v>
      </c>
      <c r="J99" s="17">
        <f t="shared" si="7"/>
        <v>-580553.30988681922</v>
      </c>
      <c r="L99" s="17">
        <f t="shared" si="7"/>
        <v>-621888.70555076073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"/>
      <c r="B100" s="1" t="s">
        <v>73</v>
      </c>
      <c r="C100" s="1"/>
      <c r="D100" s="15" t="s">
        <v>11</v>
      </c>
      <c r="E100" s="16">
        <v>-61518</v>
      </c>
      <c r="F100" s="17">
        <f>$E100*F$6*F$5</f>
        <v>-79124.4516</v>
      </c>
      <c r="G100" s="17">
        <f>$E100*G$6*G$5</f>
        <v>-96452.706500400003</v>
      </c>
      <c r="H100" s="17">
        <f>$E100*H$6*H$5</f>
        <v>-110341.89623645761</v>
      </c>
      <c r="I100" s="17">
        <f>$E100*I$6*I$5</f>
        <v>-122788.46213193005</v>
      </c>
      <c r="J100" s="17">
        <f>$E100*J$6*J$5</f>
        <v>-134085.00064806759</v>
      </c>
      <c r="L100" s="17">
        <f>$E100*L$6*L$5</f>
        <v>-143631.85269421001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"/>
      <c r="B101" s="1" t="s">
        <v>74</v>
      </c>
      <c r="C101" s="1"/>
      <c r="D101" s="15" t="s">
        <v>11</v>
      </c>
      <c r="E101" s="16">
        <v>-95336</v>
      </c>
      <c r="F101" s="17">
        <f>$E$101*F6*F5</f>
        <v>-122621.16320000001</v>
      </c>
      <c r="G101" s="17">
        <f>$E$101*G6*G5</f>
        <v>-149475.19794079999</v>
      </c>
      <c r="H101" s="17">
        <f>$E$101*H6*H5</f>
        <v>-170999.62644427523</v>
      </c>
      <c r="I101" s="17">
        <f>$E$101*I6*I5</f>
        <v>-190288.3843071895</v>
      </c>
      <c r="J101" s="17">
        <f>$E$101*J6*J5</f>
        <v>-207794.91566345093</v>
      </c>
      <c r="L101" s="17">
        <f>$E$101*L6*L5</f>
        <v>-222589.91365868863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"/>
      <c r="B102" s="25" t="s">
        <v>75</v>
      </c>
      <c r="C102" s="25"/>
      <c r="D102" s="26" t="s">
        <v>11</v>
      </c>
      <c r="E102" s="28">
        <f t="shared" ref="E102:J102" si="8">SUM(E99:E101)</f>
        <v>-423211</v>
      </c>
      <c r="F102" s="28">
        <f t="shared" si="8"/>
        <v>-544333.98820000002</v>
      </c>
      <c r="G102" s="28">
        <f t="shared" si="8"/>
        <v>-663543.13161579997</v>
      </c>
      <c r="H102" s="28">
        <f t="shared" si="8"/>
        <v>-759093.34256847529</v>
      </c>
      <c r="I102" s="28">
        <f t="shared" si="8"/>
        <v>-844719.0716101994</v>
      </c>
      <c r="J102" s="28">
        <f t="shared" si="8"/>
        <v>-922433.22619833774</v>
      </c>
      <c r="L102" s="28">
        <f>SUM(L99:L101)</f>
        <v>-988110.4719036594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"/>
      <c r="B103" s="1"/>
      <c r="C103" s="1"/>
      <c r="D103" s="1"/>
      <c r="E103" s="17"/>
      <c r="F103" s="17"/>
      <c r="G103" s="17"/>
      <c r="H103" s="17"/>
      <c r="I103" s="17"/>
      <c r="J103" s="17"/>
      <c r="L103" s="1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"/>
      <c r="B104" s="34" t="s">
        <v>76</v>
      </c>
      <c r="C104" s="34"/>
      <c r="D104" s="35" t="s">
        <v>11</v>
      </c>
      <c r="E104" s="36">
        <f t="shared" ref="E104:J104" si="9">SUM(E91,E96,E102)</f>
        <v>344829</v>
      </c>
      <c r="F104" s="36">
        <f t="shared" si="9"/>
        <v>381528.47096084477</v>
      </c>
      <c r="G104" s="36">
        <f t="shared" si="9"/>
        <v>401198.69641917187</v>
      </c>
      <c r="H104" s="36">
        <f t="shared" si="9"/>
        <v>412122.6682699942</v>
      </c>
      <c r="I104" s="36">
        <f t="shared" si="9"/>
        <v>408482.05998696282</v>
      </c>
      <c r="J104" s="36">
        <f t="shared" si="9"/>
        <v>393427.96197868255</v>
      </c>
      <c r="L104" s="36">
        <f>SUM(L91,L96,L102)</f>
        <v>367226.55191867147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"/>
      <c r="B105" s="22" t="s">
        <v>77</v>
      </c>
      <c r="C105" s="22"/>
      <c r="D105" s="23" t="s">
        <v>8</v>
      </c>
      <c r="E105" s="33">
        <f t="shared" ref="E105:J105" si="10">E104/E91</f>
        <v>0.10961362222528091</v>
      </c>
      <c r="F105" s="33">
        <f t="shared" si="10"/>
        <v>0.10301974855602278</v>
      </c>
      <c r="G105" s="33">
        <f t="shared" si="10"/>
        <v>9.4200933469384254E-2</v>
      </c>
      <c r="H105" s="33">
        <f t="shared" si="10"/>
        <v>8.7968970808159672E-2</v>
      </c>
      <c r="I105" s="33">
        <f t="shared" si="10"/>
        <v>8.1487729640486006E-2</v>
      </c>
      <c r="J105" s="33">
        <f t="shared" si="10"/>
        <v>7.4747238826105455E-2</v>
      </c>
      <c r="L105" s="33">
        <f>L104/L91</f>
        <v>6.7737128379149664E-2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"/>
      <c r="B106" s="1"/>
      <c r="C106" s="1"/>
      <c r="D106" s="1"/>
      <c r="E106" s="65"/>
      <c r="F106" s="8"/>
      <c r="G106" s="8"/>
      <c r="H106" s="8"/>
      <c r="I106" s="8"/>
      <c r="J106" s="8"/>
      <c r="L106" s="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"/>
      <c r="B107" s="25" t="s">
        <v>58</v>
      </c>
      <c r="C107" s="25"/>
      <c r="D107" s="26" t="s">
        <v>11</v>
      </c>
      <c r="E107" s="16">
        <v>-165956</v>
      </c>
      <c r="F107" s="17">
        <f>-SUM(F63:F69,F44:F49)</f>
        <v>-116311.67142857141</v>
      </c>
      <c r="G107" s="17">
        <f>-SUM(G63:G69,G44:G49)</f>
        <v>-136074.78842857142</v>
      </c>
      <c r="H107" s="17">
        <f>-SUM(H63:H69,H44:H49)</f>
        <v>-140681.91722857146</v>
      </c>
      <c r="I107" s="17">
        <f>-SUM(I63:I69,I44:I49)</f>
        <v>-111438.94439017144</v>
      </c>
      <c r="J107" s="17">
        <f>-SUM(J63:J69,J44:J49)</f>
        <v>-106598.99890955279</v>
      </c>
      <c r="L107" s="17">
        <f>-SUM(L63:L69,L44:L49)</f>
        <v>-94304.271731879402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"/>
      <c r="B108" s="1"/>
      <c r="C108" s="1"/>
      <c r="D108" s="1"/>
      <c r="E108" s="16"/>
      <c r="F108" s="16"/>
      <c r="G108" s="16"/>
      <c r="H108" s="16"/>
      <c r="I108" s="16"/>
      <c r="J108" s="16"/>
      <c r="L108" s="16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"/>
      <c r="B109" s="1" t="s">
        <v>78</v>
      </c>
      <c r="C109" s="1"/>
      <c r="D109" s="15" t="s">
        <v>11</v>
      </c>
      <c r="E109" s="16">
        <v>9123</v>
      </c>
      <c r="F109" s="17">
        <f>Допущения!F$21*E163</f>
        <v>5865.5999999999995</v>
      </c>
      <c r="G109" s="17">
        <f>Допущения!G$21*F163</f>
        <v>-3325.0915441849111</v>
      </c>
      <c r="H109" s="17">
        <f>Допущения!H$21*G163</f>
        <v>-6441.7669875958618</v>
      </c>
      <c r="I109" s="17">
        <f>Допущения!I$21*H163</f>
        <v>-7578.452871202765</v>
      </c>
      <c r="J109" s="17">
        <f>Допущения!J$21*I163</f>
        <v>-4436.0829437190232</v>
      </c>
      <c r="L109" s="17">
        <f>Допущения!L$21*J163</f>
        <v>-4701.1249212756065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"/>
      <c r="B110" s="1" t="s">
        <v>79</v>
      </c>
      <c r="C110" s="1"/>
      <c r="D110" s="15" t="s">
        <v>11</v>
      </c>
      <c r="E110" s="16">
        <v>-79497</v>
      </c>
      <c r="F110" s="17">
        <f>-Допущения!F$22*(E172)-F87</f>
        <v>-144238.13500000001</v>
      </c>
      <c r="G110" s="17">
        <f>-Допущения!G$22*(F172)-G87</f>
        <v>-150619.65707863841</v>
      </c>
      <c r="H110" s="17">
        <f>-Допущения!H$22*(G172)-H87</f>
        <v>-152070.92761978722</v>
      </c>
      <c r="I110" s="17">
        <f>-Допущения!I$22*(H172)-I87</f>
        <v>-147994.74705988099</v>
      </c>
      <c r="J110" s="17">
        <f>-Допущения!J$22*(I172)-J87</f>
        <v>-148616.37427573936</v>
      </c>
      <c r="L110" s="17">
        <f>-Допущения!L$22*(J172)-L87</f>
        <v>-149281.12925805154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"/>
      <c r="B111" s="1" t="s">
        <v>148</v>
      </c>
      <c r="C111" s="1"/>
      <c r="D111" s="15" t="s">
        <v>11</v>
      </c>
      <c r="E111" s="16">
        <v>-4583</v>
      </c>
      <c r="F111" s="17">
        <f>E111*Допущения!F24/Допущения!E24</f>
        <v>-4960.4235294117643</v>
      </c>
      <c r="G111" s="17">
        <f>F111*Допущения!G24/Допущения!F24</f>
        <v>-4475.1647058823528</v>
      </c>
      <c r="H111" s="17">
        <f>G111*Допущения!H24/Допущения!G24</f>
        <v>-4960.4235294117643</v>
      </c>
      <c r="I111" s="17">
        <f>H111*Допущения!I24/Допущения!H24</f>
        <v>-5176.0941176470587</v>
      </c>
      <c r="J111" s="17">
        <f>I111*Допущения!J24/Допущения!I24</f>
        <v>-5391.7647058823532</v>
      </c>
      <c r="L111" s="17">
        <f>J111*Допущения!L24/Допущения!J24</f>
        <v>-5930.9411764705883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"/>
      <c r="B112" s="25" t="s">
        <v>80</v>
      </c>
      <c r="C112" s="25"/>
      <c r="D112" s="26" t="s">
        <v>11</v>
      </c>
      <c r="E112" s="28">
        <f t="shared" ref="E112:J112" si="11">SUM(E109:E111)</f>
        <v>-74957</v>
      </c>
      <c r="F112" s="28">
        <f t="shared" si="11"/>
        <v>-143332.95852941176</v>
      </c>
      <c r="G112" s="28">
        <f t="shared" si="11"/>
        <v>-158419.91332870568</v>
      </c>
      <c r="H112" s="28">
        <f t="shared" si="11"/>
        <v>-163473.11813679483</v>
      </c>
      <c r="I112" s="28">
        <f t="shared" si="11"/>
        <v>-160749.29404873081</v>
      </c>
      <c r="J112" s="28">
        <f t="shared" si="11"/>
        <v>-158444.22192534074</v>
      </c>
      <c r="L112" s="28">
        <f>SUM(L109:L111)</f>
        <v>-159913.19535579774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"/>
      <c r="B113" s="1"/>
      <c r="C113" s="1"/>
      <c r="D113" s="1"/>
      <c r="E113" s="17"/>
      <c r="F113" s="4"/>
      <c r="G113" s="4"/>
      <c r="H113" s="4"/>
      <c r="I113" s="4"/>
      <c r="J113" s="4"/>
      <c r="L113" s="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"/>
      <c r="B114" s="25" t="s">
        <v>81</v>
      </c>
      <c r="C114" s="25"/>
      <c r="D114" s="26" t="s">
        <v>11</v>
      </c>
      <c r="E114" s="28">
        <f t="shared" ref="E114:J114" si="12">SUM(E104,E107,E112)</f>
        <v>103916</v>
      </c>
      <c r="F114" s="28">
        <f t="shared" si="12"/>
        <v>121883.84100286162</v>
      </c>
      <c r="G114" s="28">
        <f t="shared" si="12"/>
        <v>106703.99466189477</v>
      </c>
      <c r="H114" s="28">
        <f t="shared" si="12"/>
        <v>107967.63290462788</v>
      </c>
      <c r="I114" s="28">
        <f t="shared" si="12"/>
        <v>136293.82154806057</v>
      </c>
      <c r="J114" s="28">
        <f t="shared" si="12"/>
        <v>128384.741143789</v>
      </c>
      <c r="L114" s="28">
        <f>SUM(L104,L107,L112)</f>
        <v>113009.08483099434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"/>
      <c r="B115" s="1" t="s">
        <v>25</v>
      </c>
      <c r="C115" s="1"/>
      <c r="D115" s="15" t="s">
        <v>11</v>
      </c>
      <c r="E115" s="16">
        <v>-25305</v>
      </c>
      <c r="F115" s="17">
        <f>-Допущения!F$23*F114</f>
        <v>-24376.768200572325</v>
      </c>
      <c r="G115" s="17">
        <f>-Допущения!G$23*G114</f>
        <v>-21340.798932378955</v>
      </c>
      <c r="H115" s="17">
        <f>-Допущения!H$23*H114</f>
        <v>-21593.52658092558</v>
      </c>
      <c r="I115" s="17">
        <f>-Допущения!I$23*I114</f>
        <v>-27258.764309612117</v>
      </c>
      <c r="J115" s="17">
        <f>-Допущения!J$23*J114</f>
        <v>-25676.948228757799</v>
      </c>
      <c r="L115" s="17">
        <f>-Допущения!L$23*L114</f>
        <v>-22601.816966198869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"/>
      <c r="B116" s="25" t="s">
        <v>82</v>
      </c>
      <c r="C116" s="25"/>
      <c r="D116" s="26" t="s">
        <v>11</v>
      </c>
      <c r="E116" s="28">
        <f t="shared" ref="E116:J116" si="13">SUM(E114:E115)</f>
        <v>78611</v>
      </c>
      <c r="F116" s="28">
        <f t="shared" si="13"/>
        <v>97507.072802289302</v>
      </c>
      <c r="G116" s="28">
        <f t="shared" si="13"/>
        <v>85363.195729515821</v>
      </c>
      <c r="H116" s="28">
        <f t="shared" si="13"/>
        <v>86374.106323702305</v>
      </c>
      <c r="I116" s="28">
        <f t="shared" si="13"/>
        <v>109035.05723844845</v>
      </c>
      <c r="J116" s="28">
        <f t="shared" si="13"/>
        <v>102707.7929150312</v>
      </c>
      <c r="L116" s="28">
        <f>SUM(L114:L115)</f>
        <v>90407.267864795474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"/>
      <c r="B117" s="1"/>
      <c r="C117" s="1"/>
      <c r="D117" s="1"/>
      <c r="E117" s="17"/>
      <c r="F117" s="4"/>
      <c r="G117" s="4"/>
      <c r="H117" s="4"/>
      <c r="I117" s="4"/>
      <c r="J117" s="4"/>
      <c r="L117" s="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"/>
      <c r="B118" s="1" t="s">
        <v>83</v>
      </c>
      <c r="C118" s="1"/>
      <c r="D118" s="15" t="s">
        <v>11</v>
      </c>
      <c r="E118" s="16">
        <v>0</v>
      </c>
      <c r="F118" s="17">
        <f>E118*F5*F6</f>
        <v>0</v>
      </c>
      <c r="G118" s="17">
        <f>F118*G5*G6</f>
        <v>0</v>
      </c>
      <c r="H118" s="17">
        <f>G118*H5*H6</f>
        <v>0</v>
      </c>
      <c r="I118" s="17">
        <f>H118*I5*I6</f>
        <v>0</v>
      </c>
      <c r="J118" s="17">
        <f>I118*J5*J6</f>
        <v>0</v>
      </c>
      <c r="L118" s="17">
        <f>J118*L5*L6</f>
        <v>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"/>
      <c r="B119" s="34" t="s">
        <v>84</v>
      </c>
      <c r="C119" s="34"/>
      <c r="D119" s="35" t="s">
        <v>11</v>
      </c>
      <c r="E119" s="36">
        <f t="shared" ref="E119:J119" si="14">SUM(E116:E118)</f>
        <v>78611</v>
      </c>
      <c r="F119" s="36">
        <f t="shared" si="14"/>
        <v>97507.072802289302</v>
      </c>
      <c r="G119" s="36">
        <f t="shared" si="14"/>
        <v>85363.195729515821</v>
      </c>
      <c r="H119" s="36">
        <f t="shared" si="14"/>
        <v>86374.106323702305</v>
      </c>
      <c r="I119" s="36">
        <f t="shared" si="14"/>
        <v>109035.05723844845</v>
      </c>
      <c r="J119" s="36">
        <f t="shared" si="14"/>
        <v>102707.7929150312</v>
      </c>
      <c r="L119" s="36">
        <f>SUM(L116:L118)</f>
        <v>90407.267864795474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"/>
      <c r="B120" s="22" t="s">
        <v>77</v>
      </c>
      <c r="C120" s="22"/>
      <c r="D120" s="23"/>
      <c r="E120" s="33">
        <f t="shared" ref="E120:J120" si="15">E119/E91</f>
        <v>2.4988723270814108E-2</v>
      </c>
      <c r="F120" s="33">
        <f t="shared" si="15"/>
        <v>2.6328714334811876E-2</v>
      </c>
      <c r="G120" s="33">
        <f t="shared" si="15"/>
        <v>2.0043167620985021E-2</v>
      </c>
      <c r="H120" s="33">
        <f t="shared" si="15"/>
        <v>1.8436843742826607E-2</v>
      </c>
      <c r="I120" s="33">
        <f t="shared" si="15"/>
        <v>2.175130840719218E-2</v>
      </c>
      <c r="J120" s="33">
        <f t="shared" si="15"/>
        <v>1.9513417113799336E-2</v>
      </c>
      <c r="L120" s="33">
        <f>L119/L91</f>
        <v>1.6676159928441313E-2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"/>
      <c r="B121" s="1"/>
      <c r="C121" s="1"/>
      <c r="D121" s="1"/>
      <c r="E121" s="4"/>
      <c r="F121" s="4"/>
      <c r="G121" s="4"/>
      <c r="H121" s="4"/>
      <c r="I121" s="4"/>
      <c r="J121" s="4"/>
      <c r="L121" s="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"/>
      <c r="B122" s="1"/>
      <c r="C122" s="1"/>
      <c r="D122" s="1"/>
      <c r="E122" s="4"/>
      <c r="F122" s="4"/>
      <c r="G122" s="4"/>
      <c r="H122" s="4"/>
      <c r="I122" s="4"/>
      <c r="J122" s="4"/>
      <c r="L122" s="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"/>
      <c r="B123" s="10" t="s">
        <v>85</v>
      </c>
      <c r="C123" s="10"/>
      <c r="D123" s="10"/>
      <c r="E123" s="11"/>
      <c r="F123" s="11"/>
      <c r="G123" s="11"/>
      <c r="H123" s="11"/>
      <c r="I123" s="11"/>
      <c r="J123" s="11"/>
      <c r="L123" s="1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"/>
      <c r="B124" s="1"/>
      <c r="C124" s="1"/>
      <c r="D124" s="1"/>
      <c r="E124" s="17"/>
      <c r="F124" s="17"/>
      <c r="G124" s="17"/>
      <c r="H124" s="17"/>
      <c r="I124" s="17"/>
      <c r="J124" s="17"/>
      <c r="L124" s="1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"/>
      <c r="B125" s="1" t="s">
        <v>81</v>
      </c>
      <c r="C125" s="1"/>
      <c r="D125" s="15" t="s">
        <v>11</v>
      </c>
      <c r="E125" s="17">
        <f t="shared" ref="E125:J125" si="16">E114</f>
        <v>103916</v>
      </c>
      <c r="F125" s="17">
        <f t="shared" si="16"/>
        <v>121883.84100286162</v>
      </c>
      <c r="G125" s="17">
        <f t="shared" si="16"/>
        <v>106703.99466189477</v>
      </c>
      <c r="H125" s="17">
        <f t="shared" si="16"/>
        <v>107967.63290462788</v>
      </c>
      <c r="I125" s="17">
        <f t="shared" si="16"/>
        <v>136293.82154806057</v>
      </c>
      <c r="J125" s="17">
        <f t="shared" si="16"/>
        <v>128384.741143789</v>
      </c>
      <c r="L125" s="17">
        <f>L114</f>
        <v>113009.08483099434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"/>
      <c r="B126" s="1" t="s">
        <v>58</v>
      </c>
      <c r="C126" s="1"/>
      <c r="D126" s="15" t="s">
        <v>11</v>
      </c>
      <c r="E126" s="17">
        <f t="shared" ref="E126:J126" si="17">-E107</f>
        <v>165956</v>
      </c>
      <c r="F126" s="17">
        <f t="shared" si="17"/>
        <v>116311.67142857141</v>
      </c>
      <c r="G126" s="17">
        <f t="shared" si="17"/>
        <v>136074.78842857142</v>
      </c>
      <c r="H126" s="17">
        <f t="shared" si="17"/>
        <v>140681.91722857146</v>
      </c>
      <c r="I126" s="17">
        <f t="shared" si="17"/>
        <v>111438.94439017144</v>
      </c>
      <c r="J126" s="17">
        <f t="shared" si="17"/>
        <v>106598.99890955279</v>
      </c>
      <c r="L126" s="17">
        <f>-L107</f>
        <v>94304.271731879402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"/>
      <c r="B127" s="1" t="s">
        <v>86</v>
      </c>
      <c r="C127" s="1"/>
      <c r="D127" s="15" t="s">
        <v>11</v>
      </c>
      <c r="E127" s="16">
        <v>72428</v>
      </c>
      <c r="F127" s="17">
        <f>-F111-F110-F87-F109</f>
        <v>44745.823529411769</v>
      </c>
      <c r="G127" s="17">
        <f>-G111-G110-G87-G109</f>
        <v>49619.016162039021</v>
      </c>
      <c r="H127" s="17">
        <f>-H111-H110-H87-H109</f>
        <v>46298.917542350398</v>
      </c>
      <c r="I127" s="17">
        <f>-I111-I110-I87-I109</f>
        <v>36980.900140767873</v>
      </c>
      <c r="J127" s="17">
        <f>-J111-J110-J87-J109</f>
        <v>29801.441147643211</v>
      </c>
      <c r="L127" s="17">
        <f>-L111-L110-L87-L109</f>
        <v>31058.507270690156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"/>
      <c r="B128" s="1"/>
      <c r="C128" s="1"/>
      <c r="D128" s="1"/>
      <c r="E128" s="17"/>
      <c r="F128" s="17"/>
      <c r="G128" s="17"/>
      <c r="H128" s="17"/>
      <c r="I128" s="17"/>
      <c r="J128" s="17"/>
      <c r="L128" s="1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"/>
      <c r="B129" s="1" t="s">
        <v>87</v>
      </c>
      <c r="C129" s="1"/>
      <c r="D129" s="1"/>
      <c r="E129" s="17"/>
      <c r="F129" s="17"/>
      <c r="G129" s="17"/>
      <c r="H129" s="17"/>
      <c r="I129" s="17"/>
      <c r="J129" s="17"/>
      <c r="L129" s="1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"/>
      <c r="B130" s="37" t="s">
        <v>88</v>
      </c>
      <c r="C130" s="1"/>
      <c r="D130" s="15" t="s">
        <v>11</v>
      </c>
      <c r="E130" s="16">
        <v>-22519</v>
      </c>
      <c r="F130" s="17">
        <f>-(F162-E162)</f>
        <v>-41976.454595996009</v>
      </c>
      <c r="G130" s="17">
        <f>-(G162-F162)</f>
        <v>-41820.368189399363</v>
      </c>
      <c r="H130" s="17">
        <f>-(H162-G162)</f>
        <v>-32062.282278539613</v>
      </c>
      <c r="I130" s="17">
        <f>-(I162-H162)</f>
        <v>-24687.957354475453</v>
      </c>
      <c r="J130" s="17">
        <f>-(J162-I162)</f>
        <v>-18868.653120920528</v>
      </c>
      <c r="L130" s="17">
        <f>-(L162-J162)</f>
        <v>-11887.251466179907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"/>
      <c r="B131" s="37" t="s">
        <v>89</v>
      </c>
      <c r="C131" s="1"/>
      <c r="D131" s="15" t="s">
        <v>11</v>
      </c>
      <c r="E131" s="16">
        <f>55740-8442</f>
        <v>47298</v>
      </c>
      <c r="F131" s="17">
        <f>-F20+F18</f>
        <v>3296.4550993014855</v>
      </c>
      <c r="G131" s="17">
        <f>-G20+G18</f>
        <v>14250.433064895238</v>
      </c>
      <c r="H131" s="17">
        <f>-H20+H18</f>
        <v>11070.237488419654</v>
      </c>
      <c r="I131" s="17">
        <f>-I20+I18</f>
        <v>8063.283465123066</v>
      </c>
      <c r="J131" s="17">
        <f>-J20+J18</f>
        <v>5673.2785226262858</v>
      </c>
      <c r="L131" s="17">
        <f>-L20+L18</f>
        <v>2817.3348798021689</v>
      </c>
      <c r="N131" s="4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"/>
      <c r="B132" s="37"/>
      <c r="C132" s="1"/>
      <c r="D132" s="1"/>
      <c r="E132" s="16"/>
      <c r="F132" s="17"/>
      <c r="G132" s="17"/>
      <c r="H132" s="17"/>
      <c r="I132" s="17"/>
      <c r="J132" s="17"/>
      <c r="L132" s="1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"/>
      <c r="B133" s="37" t="s">
        <v>157</v>
      </c>
      <c r="C133" s="1"/>
      <c r="D133" s="15" t="s">
        <v>11</v>
      </c>
      <c r="E133" s="16">
        <f>-80414+8845</f>
        <v>-71569</v>
      </c>
      <c r="F133" s="17">
        <f>F110+F109+F87</f>
        <v>-39785.400000000009</v>
      </c>
      <c r="G133" s="17">
        <f>G110+G109+G87</f>
        <v>-45143.851456156684</v>
      </c>
      <c r="H133" s="17">
        <f>H110+H109+H87</f>
        <v>-41338.494012938638</v>
      </c>
      <c r="I133" s="17">
        <f>I110+I109+I87</f>
        <v>-31804.806023120793</v>
      </c>
      <c r="J133" s="17">
        <f>J110+J109+J87</f>
        <v>-24409.676441760865</v>
      </c>
      <c r="L133" s="17">
        <f>L110+L109+L87</f>
        <v>-25127.566094219539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"/>
      <c r="B134" s="1" t="s">
        <v>90</v>
      </c>
      <c r="C134" s="1"/>
      <c r="D134" s="15" t="s">
        <v>11</v>
      </c>
      <c r="E134" s="16">
        <v>-25231</v>
      </c>
      <c r="F134" s="17">
        <f>MIN(F115,0)</f>
        <v>-24376.768200572325</v>
      </c>
      <c r="G134" s="17">
        <f>MIN(G115,0)</f>
        <v>-21340.798932378955</v>
      </c>
      <c r="H134" s="17">
        <f>MIN(H115,0)</f>
        <v>-21593.52658092558</v>
      </c>
      <c r="I134" s="17">
        <f>MIN(I115,0)</f>
        <v>-27258.764309612117</v>
      </c>
      <c r="J134" s="17">
        <f>MIN(J115,0)</f>
        <v>-25676.948228757799</v>
      </c>
      <c r="L134" s="17">
        <f>MIN(L115,0)</f>
        <v>-22601.816966198869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"/>
      <c r="B135" s="34" t="s">
        <v>91</v>
      </c>
      <c r="C135" s="34"/>
      <c r="D135" s="35" t="s">
        <v>11</v>
      </c>
      <c r="E135" s="36">
        <f t="shared" ref="E135:J135" si="18">SUM(E125:E134)</f>
        <v>270279</v>
      </c>
      <c r="F135" s="36">
        <f t="shared" si="18"/>
        <v>180099.16826357789</v>
      </c>
      <c r="G135" s="36">
        <f t="shared" si="18"/>
        <v>198343.21373946543</v>
      </c>
      <c r="H135" s="36">
        <f t="shared" si="18"/>
        <v>211024.40229156555</v>
      </c>
      <c r="I135" s="36">
        <f t="shared" si="18"/>
        <v>209025.42185691459</v>
      </c>
      <c r="J135" s="36">
        <f t="shared" si="18"/>
        <v>201503.18193217207</v>
      </c>
      <c r="L135" s="36">
        <f>SUM(L125:L134)</f>
        <v>181572.56418676776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"/>
      <c r="B136" s="1"/>
      <c r="C136" s="1"/>
      <c r="D136" s="1"/>
      <c r="E136" s="17"/>
      <c r="F136" s="17"/>
      <c r="G136" s="17"/>
      <c r="H136" s="17"/>
      <c r="I136" s="17"/>
      <c r="J136" s="17"/>
      <c r="L136" s="1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"/>
      <c r="B137" s="1" t="s">
        <v>92</v>
      </c>
      <c r="C137" s="1"/>
      <c r="D137" s="15" t="s">
        <v>11</v>
      </c>
      <c r="E137" s="16">
        <v>-103852</v>
      </c>
      <c r="F137" s="17">
        <f>-SUM(F28:F33)</f>
        <v>-130800.00000000001</v>
      </c>
      <c r="G137" s="17">
        <f>-SUM(G28:G33)</f>
        <v>-127094.00000000003</v>
      </c>
      <c r="H137" s="17">
        <f>-SUM(H28:H33)</f>
        <v>-120161.60000000002</v>
      </c>
      <c r="I137" s="17">
        <f>-SUM(I28:I33)</f>
        <v>-99974.451200000025</v>
      </c>
      <c r="J137" s="17">
        <f>-SUM(J28:J33)</f>
        <v>-77980.071936000022</v>
      </c>
      <c r="L137" s="17">
        <f>-SUM(L28:L33)</f>
        <v>-54066.183208960007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"/>
      <c r="B138" s="1" t="s">
        <v>16</v>
      </c>
      <c r="C138" s="1"/>
      <c r="D138" s="15" t="s">
        <v>11</v>
      </c>
      <c r="E138" s="16">
        <v>-90403</v>
      </c>
      <c r="F138" s="17">
        <f>F111</f>
        <v>-4960.4235294117643</v>
      </c>
      <c r="G138" s="17">
        <f>G111</f>
        <v>-4475.1647058823528</v>
      </c>
      <c r="H138" s="17">
        <f>H111</f>
        <v>-4960.4235294117643</v>
      </c>
      <c r="I138" s="17">
        <f>I111</f>
        <v>-5176.0941176470587</v>
      </c>
      <c r="J138" s="17">
        <f>J111</f>
        <v>-5391.7647058823532</v>
      </c>
      <c r="L138" s="17">
        <f>L111</f>
        <v>-5930.9411764705883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"/>
      <c r="B139" s="34" t="s">
        <v>93</v>
      </c>
      <c r="C139" s="34"/>
      <c r="D139" s="35" t="s">
        <v>11</v>
      </c>
      <c r="E139" s="36">
        <f t="shared" ref="E139:J139" si="19">SUM(E137:E138)</f>
        <v>-194255</v>
      </c>
      <c r="F139" s="36">
        <f t="shared" si="19"/>
        <v>-135760.42352941178</v>
      </c>
      <c r="G139" s="36">
        <f t="shared" si="19"/>
        <v>-131569.16470588237</v>
      </c>
      <c r="H139" s="36">
        <f t="shared" si="19"/>
        <v>-125122.02352941179</v>
      </c>
      <c r="I139" s="36">
        <f t="shared" si="19"/>
        <v>-105150.54531764708</v>
      </c>
      <c r="J139" s="36">
        <f t="shared" si="19"/>
        <v>-83371.836641882372</v>
      </c>
      <c r="L139" s="36">
        <f>SUM(L137:L138)</f>
        <v>-59997.124385430594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"/>
      <c r="B140" s="1"/>
      <c r="C140" s="1"/>
      <c r="D140" s="1"/>
      <c r="E140" s="17"/>
      <c r="F140" s="17"/>
      <c r="G140" s="17"/>
      <c r="H140" s="17"/>
      <c r="I140" s="17"/>
      <c r="J140" s="17"/>
      <c r="L140" s="17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"/>
      <c r="B141" s="1" t="s">
        <v>63</v>
      </c>
      <c r="C141" s="1"/>
      <c r="D141" s="15" t="s">
        <v>11</v>
      </c>
      <c r="E141" s="16">
        <v>183594</v>
      </c>
      <c r="F141" s="17">
        <f>F73+F79</f>
        <v>167281.4727575976</v>
      </c>
      <c r="G141" s="17">
        <f>G73+G79</f>
        <v>192373.69367123721</v>
      </c>
      <c r="H141" s="17">
        <f>H73+H79</f>
        <v>211611.063038361</v>
      </c>
      <c r="I141" s="17">
        <f>I73+I79</f>
        <v>226423.83745104625</v>
      </c>
      <c r="J141" s="17">
        <f>J73+J79</f>
        <v>237745.02932359857</v>
      </c>
      <c r="L141" s="17">
        <f>L73+L79</f>
        <v>244877.3802033065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"/>
      <c r="B142" s="1" t="s">
        <v>64</v>
      </c>
      <c r="C142" s="1"/>
      <c r="D142" s="15" t="s">
        <v>11</v>
      </c>
      <c r="E142" s="16">
        <v>-192007</v>
      </c>
      <c r="F142" s="17">
        <f>-F74-F80</f>
        <v>-175437.73637879879</v>
      </c>
      <c r="G142" s="17">
        <f>-G74-G80</f>
        <v>-179827.58321441739</v>
      </c>
      <c r="H142" s="17">
        <f>-H74-H80</f>
        <v>-201992.37835479912</v>
      </c>
      <c r="I142" s="17">
        <f>-I74-I80</f>
        <v>-219017.45024470362</v>
      </c>
      <c r="J142" s="17">
        <f>-J74-J80</f>
        <v>-232084.43338732241</v>
      </c>
      <c r="L142" s="17">
        <f>-L74-L80</f>
        <v>-241311.20476345252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"/>
      <c r="B143" s="1" t="s">
        <v>155</v>
      </c>
      <c r="C143" s="1"/>
      <c r="D143" s="15" t="s">
        <v>11</v>
      </c>
      <c r="E143" s="16">
        <v>-69831</v>
      </c>
      <c r="F143" s="17">
        <f>-F87</f>
        <v>-98587.134999999995</v>
      </c>
      <c r="G143" s="17">
        <f>-G87</f>
        <v>-108800.89716666665</v>
      </c>
      <c r="H143" s="17">
        <f>-H87</f>
        <v>-117174.20059444444</v>
      </c>
      <c r="I143" s="17">
        <f>-I87</f>
        <v>-123768.39390796295</v>
      </c>
      <c r="J143" s="17">
        <f>-J87</f>
        <v>-128642.78077769752</v>
      </c>
      <c r="L143" s="17">
        <f>-L87</f>
        <v>-128854.6880851076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"/>
      <c r="B144" s="1" t="s">
        <v>94</v>
      </c>
      <c r="C144" s="1"/>
      <c r="D144" s="15" t="s">
        <v>11</v>
      </c>
      <c r="E144" s="16">
        <v>0</v>
      </c>
      <c r="F144" s="17">
        <f t="shared" ref="F144:L144" si="20">0</f>
        <v>0</v>
      </c>
      <c r="G144" s="17">
        <f t="shared" si="20"/>
        <v>0</v>
      </c>
      <c r="H144" s="17">
        <f t="shared" si="20"/>
        <v>0</v>
      </c>
      <c r="I144" s="17">
        <f t="shared" si="20"/>
        <v>0</v>
      </c>
      <c r="J144" s="17">
        <f t="shared" si="20"/>
        <v>0</v>
      </c>
      <c r="L144" s="17">
        <f t="shared" si="20"/>
        <v>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"/>
      <c r="B145" s="1" t="s">
        <v>95</v>
      </c>
      <c r="C145" s="1"/>
      <c r="D145" s="15" t="s">
        <v>11</v>
      </c>
      <c r="E145" s="16">
        <v>-33</v>
      </c>
      <c r="F145" s="17">
        <f>$E$145</f>
        <v>-33</v>
      </c>
      <c r="G145" s="17">
        <f t="shared" ref="G145:L145" si="21">$E$145</f>
        <v>-33</v>
      </c>
      <c r="H145" s="17">
        <f t="shared" si="21"/>
        <v>-33</v>
      </c>
      <c r="I145" s="17">
        <f t="shared" si="21"/>
        <v>-33</v>
      </c>
      <c r="J145" s="17">
        <f t="shared" si="21"/>
        <v>-33</v>
      </c>
      <c r="L145" s="17">
        <f t="shared" si="21"/>
        <v>-33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"/>
      <c r="B146" s="1" t="s">
        <v>156</v>
      </c>
      <c r="C146" s="1"/>
      <c r="D146" s="15" t="s">
        <v>11</v>
      </c>
      <c r="E146" s="16">
        <v>-417</v>
      </c>
      <c r="F146" s="17">
        <f>$E$146</f>
        <v>-417</v>
      </c>
      <c r="G146" s="17">
        <f t="shared" ref="G146:L146" si="22">$E$146</f>
        <v>-417</v>
      </c>
      <c r="H146" s="17">
        <f t="shared" si="22"/>
        <v>-417</v>
      </c>
      <c r="I146" s="17">
        <f t="shared" si="22"/>
        <v>-417</v>
      </c>
      <c r="J146" s="17">
        <f t="shared" si="22"/>
        <v>-417</v>
      </c>
      <c r="L146" s="17">
        <f t="shared" si="22"/>
        <v>-417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"/>
      <c r="B147" s="34" t="s">
        <v>96</v>
      </c>
      <c r="C147" s="34"/>
      <c r="D147" s="35" t="s">
        <v>11</v>
      </c>
      <c r="E147" s="36">
        <f t="shared" ref="E147:J147" si="23">SUM(E141:E146)</f>
        <v>-78694</v>
      </c>
      <c r="F147" s="36">
        <f t="shared" si="23"/>
        <v>-107193.39862120118</v>
      </c>
      <c r="G147" s="36">
        <f t="shared" si="23"/>
        <v>-96704.786709846827</v>
      </c>
      <c r="H147" s="36">
        <f t="shared" si="23"/>
        <v>-108005.51591088256</v>
      </c>
      <c r="I147" s="36">
        <f t="shared" si="23"/>
        <v>-116812.00670162032</v>
      </c>
      <c r="J147" s="36">
        <f t="shared" si="23"/>
        <v>-123432.18484142136</v>
      </c>
      <c r="L147" s="36">
        <f>SUM(L141:L146)</f>
        <v>-125738.51264525362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"/>
      <c r="B148" s="1"/>
      <c r="C148" s="1"/>
      <c r="D148" s="1"/>
      <c r="E148" s="17"/>
      <c r="F148" s="17"/>
      <c r="G148" s="17"/>
      <c r="H148" s="17"/>
      <c r="I148" s="17"/>
      <c r="J148" s="17"/>
      <c r="L148" s="1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"/>
      <c r="B149" s="34" t="s">
        <v>97</v>
      </c>
      <c r="C149" s="34"/>
      <c r="D149" s="35" t="s">
        <v>11</v>
      </c>
      <c r="E149" s="36">
        <f t="shared" ref="E149:J149" si="24">E135+E139+E147</f>
        <v>-2670</v>
      </c>
      <c r="F149" s="36">
        <f t="shared" si="24"/>
        <v>-62854.653887035078</v>
      </c>
      <c r="G149" s="36">
        <f t="shared" si="24"/>
        <v>-29930.737676263772</v>
      </c>
      <c r="H149" s="36">
        <f t="shared" si="24"/>
        <v>-22103.137148728798</v>
      </c>
      <c r="I149" s="36">
        <f t="shared" si="24"/>
        <v>-12937.130162352812</v>
      </c>
      <c r="J149" s="36">
        <f t="shared" si="24"/>
        <v>-5300.839551131663</v>
      </c>
      <c r="L149" s="36">
        <f>L135+L139+L147</f>
        <v>-4163.0728439164523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"/>
      <c r="B150" s="1"/>
      <c r="C150" s="1"/>
      <c r="D150" s="1"/>
      <c r="E150" s="17"/>
      <c r="F150" s="17"/>
      <c r="G150" s="17"/>
      <c r="H150" s="17"/>
      <c r="I150" s="17"/>
      <c r="J150" s="17"/>
      <c r="L150" s="1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"/>
      <c r="B151" s="38" t="s">
        <v>98</v>
      </c>
      <c r="C151" s="38"/>
      <c r="D151" s="39" t="s">
        <v>11</v>
      </c>
      <c r="E151" s="40">
        <v>41774</v>
      </c>
      <c r="F151" s="41">
        <f>E152</f>
        <v>39104</v>
      </c>
      <c r="G151" s="41">
        <f>F152</f>
        <v>-23750.653887035078</v>
      </c>
      <c r="H151" s="41">
        <f>G152</f>
        <v>-53681.39156329885</v>
      </c>
      <c r="I151" s="41">
        <f>H152</f>
        <v>-75784.528712027648</v>
      </c>
      <c r="J151" s="41">
        <f>I152</f>
        <v>-88721.65887438046</v>
      </c>
      <c r="L151" s="41">
        <f>J152</f>
        <v>-94022.498425512124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"/>
      <c r="B152" s="42" t="s">
        <v>99</v>
      </c>
      <c r="C152" s="42"/>
      <c r="D152" s="43" t="s">
        <v>11</v>
      </c>
      <c r="E152" s="44">
        <f t="shared" ref="E152:J152" si="25">E151+E149</f>
        <v>39104</v>
      </c>
      <c r="F152" s="44">
        <f t="shared" si="25"/>
        <v>-23750.653887035078</v>
      </c>
      <c r="G152" s="44">
        <f t="shared" si="25"/>
        <v>-53681.39156329885</v>
      </c>
      <c r="H152" s="44">
        <f t="shared" si="25"/>
        <v>-75784.528712027648</v>
      </c>
      <c r="I152" s="44">
        <f t="shared" si="25"/>
        <v>-88721.65887438046</v>
      </c>
      <c r="J152" s="44">
        <f t="shared" si="25"/>
        <v>-94022.498425512124</v>
      </c>
      <c r="L152" s="44">
        <f>L151+L149</f>
        <v>-98185.571269428576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"/>
      <c r="B153" s="1"/>
      <c r="C153" s="1"/>
      <c r="D153" s="1"/>
      <c r="E153" s="17"/>
      <c r="F153" s="17"/>
      <c r="G153" s="17"/>
      <c r="H153" s="17"/>
      <c r="I153" s="17"/>
      <c r="J153" s="17"/>
      <c r="L153" s="1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"/>
      <c r="B154" s="1"/>
      <c r="C154" s="1"/>
      <c r="D154" s="1"/>
      <c r="E154" s="17"/>
      <c r="F154" s="17"/>
      <c r="G154" s="17"/>
      <c r="H154" s="17"/>
      <c r="I154" s="17"/>
      <c r="J154" s="17"/>
      <c r="L154" s="17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"/>
      <c r="B155" s="10" t="s">
        <v>100</v>
      </c>
      <c r="C155" s="10"/>
      <c r="D155" s="10"/>
      <c r="E155" s="11"/>
      <c r="F155" s="11"/>
      <c r="G155" s="11"/>
      <c r="H155" s="11"/>
      <c r="I155" s="11"/>
      <c r="J155" s="11"/>
      <c r="L155" s="1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"/>
      <c r="B156" s="1"/>
      <c r="C156" s="1"/>
      <c r="D156" s="1"/>
      <c r="E156" s="17"/>
      <c r="F156" s="17"/>
      <c r="G156" s="17"/>
      <c r="H156" s="17"/>
      <c r="I156" s="17"/>
      <c r="J156" s="17"/>
      <c r="L156" s="17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"/>
      <c r="B157" s="1" t="s">
        <v>101</v>
      </c>
      <c r="C157" s="1"/>
      <c r="D157" s="15" t="s">
        <v>11</v>
      </c>
      <c r="E157" s="16">
        <v>364391</v>
      </c>
      <c r="F157" s="17">
        <f>E157+SUM(F28:F32)-SUM(F44:F48,F63:F68)</f>
        <v>377294.82857142854</v>
      </c>
      <c r="G157" s="17">
        <f>F157+SUM(G28:G32)-SUM(G44:G48,G63:G68)</f>
        <v>368371.08014285716</v>
      </c>
      <c r="H157" s="17">
        <f>G157+SUM(H28:H32)-SUM(H44:H48,H63:H68)</f>
        <v>349802.65891428571</v>
      </c>
      <c r="I157" s="17">
        <f>H157+SUM(I28:I32)-SUM(I44:I48,I63:I68)</f>
        <v>343308.52111611428</v>
      </c>
      <c r="J157" s="17">
        <f>I157+SUM(J28:J32)-SUM(J44:J48,J63:J68)</f>
        <v>312451.68818032154</v>
      </c>
      <c r="L157" s="17">
        <f>J157+SUM(L28:L32)-SUM(L44:L48,L63:L68)</f>
        <v>272907.74439995573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"/>
      <c r="B158" s="1" t="s">
        <v>153</v>
      </c>
      <c r="C158" s="1"/>
      <c r="D158" s="15" t="s">
        <v>11</v>
      </c>
      <c r="E158" s="16">
        <v>576463</v>
      </c>
      <c r="F158" s="17">
        <f>E158+F84-F86</f>
        <v>657247.56666666665</v>
      </c>
      <c r="G158" s="17">
        <f>F158+G84-G86</f>
        <v>725339.31444444438</v>
      </c>
      <c r="H158" s="17">
        <f>G158+H84-H86</f>
        <v>781161.33729629626</v>
      </c>
      <c r="I158" s="17">
        <f>H158+I84-I86</f>
        <v>825122.62605308637</v>
      </c>
      <c r="J158" s="17">
        <f>I158+J84-J86</f>
        <v>857618.53851798351</v>
      </c>
      <c r="L158" s="17">
        <f>J158+L84-L86</f>
        <v>859031.25390071736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"/>
      <c r="B159" s="1" t="s">
        <v>102</v>
      </c>
      <c r="C159" s="1"/>
      <c r="D159" s="15" t="s">
        <v>11</v>
      </c>
      <c r="E159" s="16">
        <f>121513+40750</f>
        <v>162263</v>
      </c>
      <c r="F159" s="17">
        <f>E159+F33-SUM(F49,F69)</f>
        <v>163847.5</v>
      </c>
      <c r="G159" s="17">
        <f>F159+G33-SUM(G49,G69)</f>
        <v>163790.46</v>
      </c>
      <c r="H159" s="17">
        <f>G159+H33-SUM(H49,H69)</f>
        <v>161838.56399999998</v>
      </c>
      <c r="I159" s="17">
        <f>H159+I33-SUM(I49,I69)</f>
        <v>156868.20860799996</v>
      </c>
      <c r="J159" s="17">
        <f>I159+J33-SUM(J49,J69)</f>
        <v>159106.11457023997</v>
      </c>
      <c r="L159" s="17">
        <f>J159+L33-SUM(L49,L69)</f>
        <v>158411.96982768638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"/>
      <c r="B160" s="1" t="s">
        <v>150</v>
      </c>
      <c r="C160" s="1"/>
      <c r="D160" s="15" t="s">
        <v>11</v>
      </c>
      <c r="E160" s="16">
        <v>36928</v>
      </c>
      <c r="F160" s="17">
        <f>E160+F20</f>
        <v>40251.520000000004</v>
      </c>
      <c r="G160" s="17">
        <f>F160+G20</f>
        <v>42666.611200000007</v>
      </c>
      <c r="H160" s="17">
        <f>G160+H20</f>
        <v>44373.27564800001</v>
      </c>
      <c r="I160" s="17">
        <f>H160+I20</f>
        <v>46148.206673920009</v>
      </c>
      <c r="J160" s="17">
        <f>I160+J20</f>
        <v>47994.134940876807</v>
      </c>
      <c r="L160" s="17">
        <f>J160+L20</f>
        <v>49913.900338511885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"/>
      <c r="B161" s="1" t="s">
        <v>103</v>
      </c>
      <c r="C161" s="1"/>
      <c r="D161" s="15" t="s">
        <v>11</v>
      </c>
      <c r="E161" s="16">
        <v>28336</v>
      </c>
      <c r="F161" s="17">
        <f>E161</f>
        <v>28336</v>
      </c>
      <c r="G161" s="17">
        <f>F161</f>
        <v>28336</v>
      </c>
      <c r="H161" s="17">
        <f>G161</f>
        <v>28336</v>
      </c>
      <c r="I161" s="17">
        <f>H161</f>
        <v>28336</v>
      </c>
      <c r="J161" s="17">
        <f>I161</f>
        <v>28336</v>
      </c>
      <c r="L161" s="17">
        <f>J161</f>
        <v>28336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"/>
      <c r="B162" s="1" t="s">
        <v>104</v>
      </c>
      <c r="C162" s="1"/>
      <c r="D162" s="15" t="s">
        <v>11</v>
      </c>
      <c r="E162" s="16">
        <v>236826</v>
      </c>
      <c r="F162" s="17">
        <f>E162/E91*F91</f>
        <v>278802.45459599601</v>
      </c>
      <c r="G162" s="17">
        <f>F162/F91*G91</f>
        <v>320622.82278539537</v>
      </c>
      <c r="H162" s="17">
        <f>G162/G91*H91</f>
        <v>352685.10506393499</v>
      </c>
      <c r="I162" s="17">
        <f>H162/H91*I91</f>
        <v>377373.06241841044</v>
      </c>
      <c r="J162" s="17">
        <f>I162/I91*J91</f>
        <v>396241.71553933097</v>
      </c>
      <c r="L162" s="17">
        <f>J162/J91*L91</f>
        <v>408128.96700551087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"/>
      <c r="B163" s="1" t="s">
        <v>105</v>
      </c>
      <c r="C163" s="1"/>
      <c r="D163" s="15" t="s">
        <v>11</v>
      </c>
      <c r="E163" s="16">
        <v>39104</v>
      </c>
      <c r="F163" s="17">
        <f>E163+F149</f>
        <v>-23750.653887035078</v>
      </c>
      <c r="G163" s="17">
        <f>F163+G149</f>
        <v>-53681.39156329885</v>
      </c>
      <c r="H163" s="17">
        <f>G163+H149</f>
        <v>-75784.528712027648</v>
      </c>
      <c r="I163" s="17">
        <f>H163+I149</f>
        <v>-88721.65887438046</v>
      </c>
      <c r="J163" s="17">
        <f>I163+J149</f>
        <v>-94022.498425512124</v>
      </c>
      <c r="L163" s="17">
        <f>J163+L149</f>
        <v>-98185.571269428576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"/>
      <c r="B164" s="1" t="s">
        <v>106</v>
      </c>
      <c r="C164" s="1"/>
      <c r="D164" s="15" t="s">
        <v>11</v>
      </c>
      <c r="E164" s="16">
        <v>145970</v>
      </c>
      <c r="F164" s="17">
        <f>E164-(F134-F115)</f>
        <v>145970</v>
      </c>
      <c r="G164" s="17">
        <f>F164-(G134-G115)</f>
        <v>145970</v>
      </c>
      <c r="H164" s="17">
        <f>G164-(H134-H115)</f>
        <v>145970</v>
      </c>
      <c r="I164" s="17">
        <f>H164-(I134-I115)</f>
        <v>145970</v>
      </c>
      <c r="J164" s="17">
        <f>I164-(J134-J115)</f>
        <v>145970</v>
      </c>
      <c r="L164" s="17">
        <f>J164-(L134-L115)</f>
        <v>145970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"/>
      <c r="B165" s="34" t="s">
        <v>107</v>
      </c>
      <c r="C165" s="34"/>
      <c r="D165" s="35" t="s">
        <v>11</v>
      </c>
      <c r="E165" s="36">
        <f t="shared" ref="E165:J165" si="26">SUM(E157:E164)</f>
        <v>1590281</v>
      </c>
      <c r="F165" s="36">
        <f t="shared" si="26"/>
        <v>1667999.2159470562</v>
      </c>
      <c r="G165" s="36">
        <f t="shared" si="26"/>
        <v>1741414.8970093981</v>
      </c>
      <c r="H165" s="36">
        <f t="shared" si="26"/>
        <v>1788382.4122104894</v>
      </c>
      <c r="I165" s="36">
        <f t="shared" si="26"/>
        <v>1834404.9659951506</v>
      </c>
      <c r="J165" s="36">
        <f t="shared" si="26"/>
        <v>1853695.6933232406</v>
      </c>
      <c r="L165" s="36">
        <f>SUM(L157:L164)</f>
        <v>1824514.2642029535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"/>
      <c r="B166" s="1"/>
      <c r="C166" s="1"/>
      <c r="D166" s="1"/>
      <c r="E166" s="16"/>
      <c r="F166" s="17"/>
      <c r="G166" s="17"/>
      <c r="H166" s="17"/>
      <c r="I166" s="17"/>
      <c r="J166" s="17"/>
      <c r="L166" s="17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"/>
      <c r="B167" s="1" t="s">
        <v>151</v>
      </c>
      <c r="C167" s="1"/>
      <c r="D167" s="15" t="s">
        <v>11</v>
      </c>
      <c r="E167" s="16">
        <v>316181</v>
      </c>
      <c r="F167" s="17">
        <f>E167+F144</f>
        <v>316181</v>
      </c>
      <c r="G167" s="17">
        <f>F167+G144</f>
        <v>316181</v>
      </c>
      <c r="H167" s="17">
        <f>G167+H144</f>
        <v>316181</v>
      </c>
      <c r="I167" s="17">
        <f>H167+I144</f>
        <v>316181</v>
      </c>
      <c r="J167" s="17">
        <f>I167+J144</f>
        <v>316181</v>
      </c>
      <c r="L167" s="17">
        <f>J167+L144</f>
        <v>316181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"/>
      <c r="B168" s="1" t="s">
        <v>152</v>
      </c>
      <c r="C168" s="1"/>
      <c r="D168" s="15" t="s">
        <v>11</v>
      </c>
      <c r="E168" s="16">
        <v>-313879</v>
      </c>
      <c r="F168" s="17">
        <f>E168</f>
        <v>-313879</v>
      </c>
      <c r="G168" s="17">
        <f>F168</f>
        <v>-313879</v>
      </c>
      <c r="H168" s="17">
        <f>G168</f>
        <v>-313879</v>
      </c>
      <c r="I168" s="17">
        <f>H168</f>
        <v>-313879</v>
      </c>
      <c r="J168" s="17">
        <f>I168</f>
        <v>-313879</v>
      </c>
      <c r="L168" s="17">
        <f>J168</f>
        <v>-313879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"/>
      <c r="B169" s="1" t="s">
        <v>108</v>
      </c>
      <c r="C169" s="1"/>
      <c r="D169" s="15" t="s">
        <v>11</v>
      </c>
      <c r="E169" s="16">
        <v>215277</v>
      </c>
      <c r="F169" s="17">
        <f>E169+F119+F145</f>
        <v>312751.07280228927</v>
      </c>
      <c r="G169" s="17">
        <f>F169+G119+G145</f>
        <v>398081.26853180508</v>
      </c>
      <c r="H169" s="17">
        <f>G169+H119+H145</f>
        <v>484422.3748555074</v>
      </c>
      <c r="I169" s="17">
        <f>H169+I119+I145</f>
        <v>593424.43209395581</v>
      </c>
      <c r="J169" s="17">
        <f>I169+J119+J145</f>
        <v>696099.22500898701</v>
      </c>
      <c r="L169" s="17">
        <f>J169+L119+L145</f>
        <v>786473.49287378252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"/>
      <c r="B170" s="34" t="s">
        <v>109</v>
      </c>
      <c r="C170" s="34"/>
      <c r="D170" s="35" t="s">
        <v>11</v>
      </c>
      <c r="E170" s="36">
        <f t="shared" ref="E170:J170" si="27">SUM(E167:E169)</f>
        <v>217579</v>
      </c>
      <c r="F170" s="36">
        <f t="shared" si="27"/>
        <v>315053.07280228927</v>
      </c>
      <c r="G170" s="36">
        <f t="shared" si="27"/>
        <v>400383.26853180508</v>
      </c>
      <c r="H170" s="36">
        <f t="shared" si="27"/>
        <v>486724.3748555074</v>
      </c>
      <c r="I170" s="36">
        <f t="shared" si="27"/>
        <v>595726.43209395581</v>
      </c>
      <c r="J170" s="36">
        <f t="shared" si="27"/>
        <v>698401.22500898701</v>
      </c>
      <c r="L170" s="36">
        <f>SUM(L167:L169)</f>
        <v>788775.49287378252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"/>
      <c r="B171" s="1"/>
      <c r="C171" s="1"/>
      <c r="D171" s="1"/>
      <c r="E171" s="16"/>
      <c r="F171" s="17"/>
      <c r="G171" s="17"/>
      <c r="H171" s="17"/>
      <c r="I171" s="17"/>
      <c r="J171" s="17"/>
      <c r="L171" s="17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"/>
      <c r="B172" s="1" t="s">
        <v>110</v>
      </c>
      <c r="C172" s="1"/>
      <c r="D172" s="15" t="s">
        <v>11</v>
      </c>
      <c r="E172" s="16">
        <f>100859+127396</f>
        <v>228255</v>
      </c>
      <c r="F172" s="17">
        <f>E172+F73+F79-F74-F80</f>
        <v>220098.73637879879</v>
      </c>
      <c r="G172" s="17">
        <f>F172+G73+G79-G74-G80</f>
        <v>232644.84683561861</v>
      </c>
      <c r="H172" s="17">
        <f>G172+H73+H79-H74-H80</f>
        <v>242263.53151918051</v>
      </c>
      <c r="I172" s="17">
        <f>H172+I73+I79-I74-I80</f>
        <v>249669.91872552311</v>
      </c>
      <c r="J172" s="17">
        <f>I172+J73+J79-J74-J80</f>
        <v>255330.51466179924</v>
      </c>
      <c r="L172" s="17">
        <f>J172+L73+L79-L74-L80</f>
        <v>258896.69010165322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"/>
      <c r="B173" s="1" t="s">
        <v>154</v>
      </c>
      <c r="C173" s="1"/>
      <c r="D173" s="15" t="s">
        <v>11</v>
      </c>
      <c r="E173" s="16">
        <f>592546+78416</f>
        <v>670962</v>
      </c>
      <c r="F173" s="17">
        <f>E173+F143+F84-F86</f>
        <v>653159.43166666664</v>
      </c>
      <c r="G173" s="17">
        <f>F173+G143+G84-G86</f>
        <v>612450.28227777767</v>
      </c>
      <c r="H173" s="17">
        <f>G173+H143+H84-H86</f>
        <v>551098.10453518515</v>
      </c>
      <c r="I173" s="17">
        <f>H173+I143+I84-I86</f>
        <v>471290.99938401231</v>
      </c>
      <c r="J173" s="17">
        <f>I173+J143+J84-J86</f>
        <v>375144.13107121194</v>
      </c>
      <c r="L173" s="17">
        <f>J173+L143+L84-L86</f>
        <v>247702.15836883822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"/>
      <c r="B174" s="1" t="s">
        <v>111</v>
      </c>
      <c r="C174" s="1"/>
      <c r="D174" s="15" t="s">
        <v>11</v>
      </c>
      <c r="E174" s="16">
        <v>290232</v>
      </c>
      <c r="F174" s="17">
        <f>E174+F18</f>
        <v>296851.97509930149</v>
      </c>
      <c r="G174" s="17">
        <f>F174+G18</f>
        <v>313517.49936419673</v>
      </c>
      <c r="H174" s="17">
        <f>G174+H18</f>
        <v>326294.40130061639</v>
      </c>
      <c r="I174" s="17">
        <f>H174+I18</f>
        <v>336132.61579165945</v>
      </c>
      <c r="J174" s="17">
        <f>I174+J18</f>
        <v>343651.82258124254</v>
      </c>
      <c r="L174" s="17">
        <f>J174+L18</f>
        <v>348388.92285867978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"/>
      <c r="B175" s="1" t="s">
        <v>112</v>
      </c>
      <c r="C175" s="1"/>
      <c r="D175" s="15" t="s">
        <v>11</v>
      </c>
      <c r="E175" s="16">
        <v>183253</v>
      </c>
      <c r="F175" s="17">
        <f>E175+F146</f>
        <v>182836</v>
      </c>
      <c r="G175" s="17">
        <f>F175+G146</f>
        <v>182419</v>
      </c>
      <c r="H175" s="17">
        <f>G175+H146</f>
        <v>182002</v>
      </c>
      <c r="I175" s="17">
        <f>H175+I146</f>
        <v>181585</v>
      </c>
      <c r="J175" s="17">
        <f>I175+J146</f>
        <v>181168</v>
      </c>
      <c r="L175" s="17">
        <f>J175+L146</f>
        <v>180751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"/>
      <c r="B176" s="34" t="s">
        <v>113</v>
      </c>
      <c r="C176" s="34"/>
      <c r="D176" s="35" t="s">
        <v>11</v>
      </c>
      <c r="E176" s="36">
        <f t="shared" ref="E176:J176" si="28">SUM(E172:E175)</f>
        <v>1372702</v>
      </c>
      <c r="F176" s="36">
        <f t="shared" si="28"/>
        <v>1352946.1431447668</v>
      </c>
      <c r="G176" s="36">
        <f t="shared" si="28"/>
        <v>1341031.628477593</v>
      </c>
      <c r="H176" s="36">
        <f t="shared" si="28"/>
        <v>1301658.037354982</v>
      </c>
      <c r="I176" s="36">
        <f t="shared" si="28"/>
        <v>1238678.533901195</v>
      </c>
      <c r="J176" s="36">
        <f t="shared" si="28"/>
        <v>1155294.4683142537</v>
      </c>
      <c r="L176" s="36">
        <f>SUM(L172:L175)</f>
        <v>1035738.7713291713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"/>
      <c r="B177" s="1"/>
      <c r="C177" s="1"/>
      <c r="D177" s="1"/>
      <c r="E177" s="46">
        <f t="shared" ref="E177:J177" si="29">E176+E170-E165</f>
        <v>0</v>
      </c>
      <c r="F177" s="46">
        <f t="shared" si="29"/>
        <v>0</v>
      </c>
      <c r="G177" s="46">
        <f t="shared" si="29"/>
        <v>0</v>
      </c>
      <c r="H177" s="46">
        <f t="shared" si="29"/>
        <v>0</v>
      </c>
      <c r="I177" s="46">
        <f t="shared" si="29"/>
        <v>0</v>
      </c>
      <c r="J177" s="46">
        <f t="shared" si="29"/>
        <v>0</v>
      </c>
      <c r="L177" s="46">
        <f>L176+L170-L165</f>
        <v>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"/>
      <c r="B178" s="1"/>
      <c r="C178" s="1"/>
      <c r="D178" s="1"/>
      <c r="E178" s="1"/>
      <c r="F178" s="17"/>
      <c r="G178" s="17"/>
      <c r="H178" s="17"/>
      <c r="I178" s="17"/>
      <c r="J178" s="17"/>
      <c r="L178" s="17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L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"/>
      <c r="B180" s="1"/>
      <c r="C180" s="1"/>
      <c r="D180" s="1"/>
      <c r="E180" s="1"/>
      <c r="F180" s="1"/>
      <c r="G180" s="1"/>
      <c r="H180" s="47"/>
      <c r="I180" s="48"/>
      <c r="J180" s="48"/>
      <c r="L180" s="48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L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L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L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L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L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L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L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L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L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L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/>
    <row r="192" spans="1:27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DEFD-B86F-4302-843E-CE5F7E7161E6}">
  <sheetPr codeName="Лист3"/>
  <dimension ref="B1:K1000"/>
  <sheetViews>
    <sheetView topLeftCell="A18" zoomScale="99" workbookViewId="0">
      <selection activeCell="J41" sqref="J41"/>
    </sheetView>
  </sheetViews>
  <sheetFormatPr defaultColWidth="14.453125" defaultRowHeight="15" customHeight="1" x14ac:dyDescent="0.35"/>
  <cols>
    <col min="1" max="1" width="3.26953125" customWidth="1"/>
    <col min="2" max="2" width="43.7265625" customWidth="1"/>
    <col min="3" max="10" width="9.7265625" customWidth="1"/>
    <col min="11" max="27" width="8.7265625" customWidth="1"/>
  </cols>
  <sheetData>
    <row r="1" spans="2:10" ht="15.75" customHeight="1" x14ac:dyDescent="0.35"/>
    <row r="2" spans="2:10" ht="15.75" customHeight="1" x14ac:dyDescent="0.35">
      <c r="B2" s="162" t="s">
        <v>114</v>
      </c>
    </row>
    <row r="3" spans="2:10" ht="15.75" customHeight="1" x14ac:dyDescent="0.35">
      <c r="B3" s="163"/>
    </row>
    <row r="4" spans="2:10" ht="15.75" customHeight="1" x14ac:dyDescent="0.45">
      <c r="B4" s="49" t="s">
        <v>115</v>
      </c>
    </row>
    <row r="5" spans="2:10" ht="15.75" customHeight="1" x14ac:dyDescent="0.45">
      <c r="B5" s="49" t="s">
        <v>116</v>
      </c>
      <c r="C5" s="50"/>
    </row>
    <row r="6" spans="2:10" ht="15.75" customHeight="1" x14ac:dyDescent="0.35"/>
    <row r="7" spans="2:10" ht="19.5" customHeight="1" x14ac:dyDescent="0.35">
      <c r="B7" s="51" t="s">
        <v>117</v>
      </c>
      <c r="C7" s="52">
        <v>2023</v>
      </c>
      <c r="D7" s="53">
        <v>2024</v>
      </c>
      <c r="E7" s="53">
        <v>2025</v>
      </c>
      <c r="F7" s="53">
        <v>2026</v>
      </c>
      <c r="G7" s="53">
        <v>2027</v>
      </c>
      <c r="H7" s="53">
        <v>2028</v>
      </c>
      <c r="J7" s="53">
        <v>2029</v>
      </c>
    </row>
    <row r="8" spans="2:10" ht="19.5" customHeight="1" x14ac:dyDescent="0.35">
      <c r="B8" s="1" t="s">
        <v>67</v>
      </c>
      <c r="C8" s="54">
        <f>Расчет!E91</f>
        <v>3145859</v>
      </c>
      <c r="D8" s="17">
        <f>ROUND(Расчет!F91,0)</f>
        <v>3703450</v>
      </c>
      <c r="E8" s="17">
        <f>ROUND(Расчет!G91,0)</f>
        <v>4258967</v>
      </c>
      <c r="F8" s="17">
        <f>ROUND(Расчет!H91,0)</f>
        <v>4684864</v>
      </c>
      <c r="G8" s="17">
        <f>ROUND(Расчет!I91,0)</f>
        <v>5012805</v>
      </c>
      <c r="H8" s="17">
        <f>ROUND(Расчет!J91,0)</f>
        <v>5263445</v>
      </c>
      <c r="J8" s="17">
        <f>ROUND(Расчет!L91,0)</f>
        <v>5421348</v>
      </c>
    </row>
    <row r="9" spans="2:10" ht="19.5" customHeight="1" x14ac:dyDescent="0.35">
      <c r="B9" s="1" t="s">
        <v>76</v>
      </c>
      <c r="C9" s="54">
        <f>Расчет!E104</f>
        <v>344829</v>
      </c>
      <c r="D9" s="17">
        <f>ROUND(Расчет!F104,0)</f>
        <v>381528</v>
      </c>
      <c r="E9" s="17">
        <f>ROUND(Расчет!G104,0)</f>
        <v>401199</v>
      </c>
      <c r="F9" s="17">
        <f>ROUND(Расчет!H104,0)</f>
        <v>412123</v>
      </c>
      <c r="G9" s="17">
        <f>ROUND(Расчет!I104,0)</f>
        <v>408482</v>
      </c>
      <c r="H9" s="17">
        <f>ROUND(Расчет!J104,0)</f>
        <v>393428</v>
      </c>
      <c r="J9" s="17">
        <f>ROUND(Расчет!L104,0)</f>
        <v>367227</v>
      </c>
    </row>
    <row r="10" spans="2:10" ht="19.5" customHeight="1" x14ac:dyDescent="0.35">
      <c r="B10" s="55" t="s">
        <v>118</v>
      </c>
      <c r="C10" s="56">
        <f>Расчет!E119</f>
        <v>78611</v>
      </c>
      <c r="D10" s="28">
        <f>ROUND(Расчет!F119,0)</f>
        <v>97507</v>
      </c>
      <c r="E10" s="28">
        <f>ROUND(Расчет!G119,0)</f>
        <v>85363</v>
      </c>
      <c r="F10" s="28">
        <f>ROUND(Расчет!H119,0)</f>
        <v>86374</v>
      </c>
      <c r="G10" s="28">
        <f>ROUND(Расчет!I119,0)</f>
        <v>109035</v>
      </c>
      <c r="H10" s="28">
        <f>ROUND(Расчет!J119,0)</f>
        <v>102708</v>
      </c>
      <c r="J10" s="28">
        <f>ROUND(Расчет!L119,0)</f>
        <v>90407</v>
      </c>
    </row>
    <row r="11" spans="2:10" ht="19.5" customHeight="1" x14ac:dyDescent="0.35">
      <c r="C11" s="57"/>
      <c r="D11" s="12"/>
      <c r="E11" s="12"/>
      <c r="F11" s="12"/>
      <c r="G11" s="12"/>
      <c r="H11" s="12"/>
      <c r="J11" s="12"/>
    </row>
    <row r="12" spans="2:10" ht="19.5" customHeight="1" x14ac:dyDescent="0.35">
      <c r="C12" s="57"/>
      <c r="D12" s="12"/>
      <c r="E12" s="12"/>
      <c r="F12" s="12"/>
      <c r="G12" s="12"/>
      <c r="H12" s="12"/>
      <c r="J12" s="12"/>
    </row>
    <row r="13" spans="2:10" ht="19.5" customHeight="1" x14ac:dyDescent="0.35">
      <c r="B13" s="51" t="s">
        <v>119</v>
      </c>
      <c r="C13" s="52">
        <v>2023</v>
      </c>
      <c r="D13" s="53">
        <v>2024</v>
      </c>
      <c r="E13" s="53">
        <v>2025</v>
      </c>
      <c r="F13" s="53">
        <v>2026</v>
      </c>
      <c r="G13" s="53">
        <v>2027</v>
      </c>
      <c r="H13" s="53">
        <v>2028</v>
      </c>
      <c r="J13" s="53">
        <v>2029</v>
      </c>
    </row>
    <row r="14" spans="2:10" ht="19.5" customHeight="1" x14ac:dyDescent="0.35">
      <c r="B14" s="1" t="s">
        <v>120</v>
      </c>
      <c r="C14" s="54">
        <f>Расчет!E135</f>
        <v>270279</v>
      </c>
      <c r="D14" s="17">
        <f>ROUND(Расчет!F135,0)</f>
        <v>180099</v>
      </c>
      <c r="E14" s="17">
        <f>ROUND(Расчет!G135,0)</f>
        <v>198343</v>
      </c>
      <c r="F14" s="17">
        <f>ROUND(Расчет!H135,0)</f>
        <v>211024</v>
      </c>
      <c r="G14" s="17">
        <f>ROUND(Расчет!I135,0)</f>
        <v>209025</v>
      </c>
      <c r="H14" s="17">
        <f>ROUND(Расчет!J135,0)</f>
        <v>201503</v>
      </c>
      <c r="J14" s="17">
        <f>ROUND(Расчет!L135,0)</f>
        <v>181573</v>
      </c>
    </row>
    <row r="15" spans="2:10" ht="19.5" customHeight="1" x14ac:dyDescent="0.35">
      <c r="B15" s="1" t="s">
        <v>56</v>
      </c>
      <c r="C15" s="54">
        <f>Расчет!E139</f>
        <v>-194255</v>
      </c>
      <c r="D15" s="17">
        <f>ROUND(Расчет!F139,0)</f>
        <v>-135760</v>
      </c>
      <c r="E15" s="17">
        <f>ROUND(Расчет!G139,0)</f>
        <v>-131569</v>
      </c>
      <c r="F15" s="17">
        <f>ROUND(Расчет!H139,0)</f>
        <v>-125122</v>
      </c>
      <c r="G15" s="17">
        <f>ROUND(Расчет!I139,0)</f>
        <v>-105151</v>
      </c>
      <c r="H15" s="17">
        <f>ROUND(Расчет!J139,0)</f>
        <v>-83372</v>
      </c>
      <c r="J15" s="17">
        <f>ROUND(Расчет!L139,0)</f>
        <v>-59997</v>
      </c>
    </row>
    <row r="16" spans="2:10" ht="19.5" customHeight="1" x14ac:dyDescent="0.35">
      <c r="B16" s="1" t="s">
        <v>121</v>
      </c>
      <c r="C16" s="54">
        <f>Расчет!E147</f>
        <v>-78694</v>
      </c>
      <c r="D16" s="17">
        <f>ROUND(Расчет!F147,0)</f>
        <v>-107193</v>
      </c>
      <c r="E16" s="17">
        <f>ROUND(Расчет!G147,0)</f>
        <v>-96705</v>
      </c>
      <c r="F16" s="17">
        <f>ROUND(Расчет!H147,0)</f>
        <v>-108006</v>
      </c>
      <c r="G16" s="17">
        <f>ROUND(Расчет!I147,0)</f>
        <v>-116812</v>
      </c>
      <c r="H16" s="17">
        <f>ROUND(Расчет!J147,0)</f>
        <v>-123432</v>
      </c>
      <c r="J16" s="17">
        <f>ROUND(Расчет!L147,0)</f>
        <v>-125739</v>
      </c>
    </row>
    <row r="17" spans="2:10" ht="19.5" customHeight="1" x14ac:dyDescent="0.35">
      <c r="B17" s="55" t="s">
        <v>97</v>
      </c>
      <c r="C17" s="56">
        <f t="shared" ref="C17:H17" si="0">SUM(C14:C16)</f>
        <v>-2670</v>
      </c>
      <c r="D17" s="28">
        <f t="shared" si="0"/>
        <v>-62854</v>
      </c>
      <c r="E17" s="28">
        <f t="shared" si="0"/>
        <v>-29931</v>
      </c>
      <c r="F17" s="28">
        <f t="shared" si="0"/>
        <v>-22104</v>
      </c>
      <c r="G17" s="28">
        <f t="shared" si="0"/>
        <v>-12938</v>
      </c>
      <c r="H17" s="28">
        <f t="shared" si="0"/>
        <v>-5301</v>
      </c>
      <c r="J17" s="28">
        <f>SUM(J14:J16)</f>
        <v>-4163</v>
      </c>
    </row>
    <row r="18" spans="2:10" ht="19.5" customHeight="1" x14ac:dyDescent="0.35">
      <c r="B18" s="58" t="s">
        <v>122</v>
      </c>
      <c r="C18" s="54">
        <f>Расчет!E152</f>
        <v>39104</v>
      </c>
      <c r="D18" s="59">
        <f>Расчет!F152</f>
        <v>-23750.653887035078</v>
      </c>
      <c r="E18" s="59">
        <f>Расчет!G152</f>
        <v>-53681.39156329885</v>
      </c>
      <c r="F18" s="59">
        <f>Расчет!H152</f>
        <v>-75784.528712027648</v>
      </c>
      <c r="G18" s="59">
        <f>Расчет!I152</f>
        <v>-88721.65887438046</v>
      </c>
      <c r="H18" s="59">
        <f>Расчет!J152</f>
        <v>-94022.498425512124</v>
      </c>
      <c r="J18" s="59">
        <f>Расчет!L152</f>
        <v>-98185.571269428576</v>
      </c>
    </row>
    <row r="19" spans="2:10" ht="19.5" customHeight="1" x14ac:dyDescent="0.35">
      <c r="C19" s="57"/>
      <c r="D19" s="12"/>
      <c r="E19" s="12"/>
      <c r="F19" s="12"/>
      <c r="G19" s="12"/>
      <c r="H19" s="12"/>
      <c r="J19" s="12"/>
    </row>
    <row r="20" spans="2:10" ht="19.5" customHeight="1" x14ac:dyDescent="0.35">
      <c r="C20" s="57"/>
      <c r="D20" s="12"/>
      <c r="E20" s="12"/>
      <c r="F20" s="12"/>
      <c r="G20" s="12"/>
      <c r="H20" s="12"/>
      <c r="J20" s="12"/>
    </row>
    <row r="21" spans="2:10" ht="19.5" customHeight="1" x14ac:dyDescent="0.35">
      <c r="B21" s="51" t="s">
        <v>100</v>
      </c>
      <c r="C21" s="52">
        <v>2023</v>
      </c>
      <c r="D21" s="53">
        <v>2024</v>
      </c>
      <c r="E21" s="53">
        <v>2025</v>
      </c>
      <c r="F21" s="53">
        <v>2026</v>
      </c>
      <c r="G21" s="53">
        <v>2027</v>
      </c>
      <c r="H21" s="53">
        <v>2028</v>
      </c>
      <c r="J21" s="53">
        <v>2029</v>
      </c>
    </row>
    <row r="22" spans="2:10" ht="19.5" customHeight="1" x14ac:dyDescent="0.35">
      <c r="B22" s="1" t="s">
        <v>123</v>
      </c>
      <c r="C22" s="54">
        <f>Расчет!E157+Расчет!E159</f>
        <v>526654</v>
      </c>
      <c r="D22" s="17">
        <f>Расчет!F157+Расчет!F159</f>
        <v>541142.32857142854</v>
      </c>
      <c r="E22" s="17">
        <f>Расчет!G157+Расчет!G159</f>
        <v>532161.54014285712</v>
      </c>
      <c r="F22" s="17">
        <f>Расчет!H157+Расчет!H159</f>
        <v>511641.22291428572</v>
      </c>
      <c r="G22" s="17">
        <f>Расчет!I157+Расчет!I159</f>
        <v>500176.72972411424</v>
      </c>
      <c r="H22" s="17">
        <f>Расчет!J157+Расчет!J159</f>
        <v>471557.8027505615</v>
      </c>
      <c r="J22" s="17">
        <f>Расчет!L157+Расчет!L159</f>
        <v>431319.71422764211</v>
      </c>
    </row>
    <row r="23" spans="2:10" ht="19.5" customHeight="1" x14ac:dyDescent="0.35">
      <c r="B23" s="1" t="s">
        <v>124</v>
      </c>
      <c r="C23" s="54">
        <f>Расчет!E160+Расчет!E161+Расчет!E164</f>
        <v>211234</v>
      </c>
      <c r="D23" s="17">
        <f>Расчет!F160+Расчет!F161+Расчет!F164</f>
        <v>214557.52000000002</v>
      </c>
      <c r="E23" s="17">
        <f>Расчет!G160+Расчет!G161+Расчет!G164</f>
        <v>216972.61120000001</v>
      </c>
      <c r="F23" s="17">
        <f>Расчет!H160+Расчет!H161+Расчет!H164</f>
        <v>218679.27564800001</v>
      </c>
      <c r="G23" s="17">
        <f>Расчет!I160+Расчет!I161+Расчет!I164</f>
        <v>220454.20667392001</v>
      </c>
      <c r="H23" s="17">
        <f>Расчет!J160+Расчет!J161+Расчет!J164</f>
        <v>222300.1349408768</v>
      </c>
      <c r="J23" s="17">
        <f>Расчет!L160+Расчет!L161+Расчет!L164</f>
        <v>224219.90033851188</v>
      </c>
    </row>
    <row r="24" spans="2:10" ht="19.5" customHeight="1" x14ac:dyDescent="0.35">
      <c r="B24" s="1" t="s">
        <v>104</v>
      </c>
      <c r="C24" s="54">
        <f>Расчет!E162</f>
        <v>236826</v>
      </c>
      <c r="D24" s="17">
        <f>Расчет!F162</f>
        <v>278802.45459599601</v>
      </c>
      <c r="E24" s="17">
        <f>Расчет!G162</f>
        <v>320622.82278539537</v>
      </c>
      <c r="F24" s="17">
        <f>Расчет!H162</f>
        <v>352685.10506393499</v>
      </c>
      <c r="G24" s="17">
        <f>Расчет!I162</f>
        <v>377373.06241841044</v>
      </c>
      <c r="H24" s="17">
        <f>Расчет!J162</f>
        <v>396241.71553933097</v>
      </c>
      <c r="J24" s="17">
        <f>Расчет!L162</f>
        <v>408128.96700551087</v>
      </c>
    </row>
    <row r="25" spans="2:10" ht="19.5" customHeight="1" x14ac:dyDescent="0.35">
      <c r="B25" s="1" t="s">
        <v>125</v>
      </c>
      <c r="C25" s="54">
        <f>Расчет!E163</f>
        <v>39104</v>
      </c>
      <c r="D25" s="17">
        <f>Расчет!F163</f>
        <v>-23750.653887035078</v>
      </c>
      <c r="E25" s="17">
        <f>Расчет!G163</f>
        <v>-53681.39156329885</v>
      </c>
      <c r="F25" s="17">
        <f>Расчет!H163</f>
        <v>-75784.528712027648</v>
      </c>
      <c r="G25" s="17">
        <f>Расчет!I163</f>
        <v>-88721.65887438046</v>
      </c>
      <c r="H25" s="17">
        <f>Расчет!J163</f>
        <v>-94022.498425512124</v>
      </c>
      <c r="J25" s="17">
        <f>Расчет!L163</f>
        <v>-98185.571269428576</v>
      </c>
    </row>
    <row r="26" spans="2:10" ht="19.5" customHeight="1" x14ac:dyDescent="0.35">
      <c r="B26" s="55" t="s">
        <v>126</v>
      </c>
      <c r="C26" s="56">
        <f t="shared" ref="C26:H26" si="1">SUM(C22:C25)</f>
        <v>1013818</v>
      </c>
      <c r="D26" s="28">
        <f t="shared" si="1"/>
        <v>1010751.6492803895</v>
      </c>
      <c r="E26" s="28">
        <f t="shared" si="1"/>
        <v>1016075.5825649537</v>
      </c>
      <c r="F26" s="28">
        <f t="shared" si="1"/>
        <v>1007221.074914193</v>
      </c>
      <c r="G26" s="28">
        <f t="shared" si="1"/>
        <v>1009282.3399420641</v>
      </c>
      <c r="H26" s="28">
        <f t="shared" si="1"/>
        <v>996077.15480525699</v>
      </c>
      <c r="J26" s="28">
        <f>SUM(J22:J25)</f>
        <v>965483.0103022363</v>
      </c>
    </row>
    <row r="27" spans="2:10" ht="19.5" customHeight="1" x14ac:dyDescent="0.35">
      <c r="B27" s="1"/>
      <c r="C27" s="16"/>
      <c r="D27" s="17"/>
      <c r="E27" s="17"/>
      <c r="F27" s="17"/>
      <c r="G27" s="17"/>
      <c r="H27" s="17"/>
      <c r="J27" s="17"/>
    </row>
    <row r="28" spans="2:10" ht="19.5" customHeight="1" x14ac:dyDescent="0.35">
      <c r="B28" s="1" t="s">
        <v>109</v>
      </c>
      <c r="C28" s="54">
        <f>Расчет!E170</f>
        <v>217579</v>
      </c>
      <c r="D28" s="17">
        <f>Расчет!F170</f>
        <v>315053.07280228927</v>
      </c>
      <c r="E28" s="17">
        <f>Расчет!G170</f>
        <v>400383.26853180508</v>
      </c>
      <c r="F28" s="17">
        <f>Расчет!H170</f>
        <v>486724.3748555074</v>
      </c>
      <c r="G28" s="17">
        <f>Расчет!I170</f>
        <v>595726.43209395581</v>
      </c>
      <c r="H28" s="17">
        <f>Расчет!J170</f>
        <v>698401.22500898701</v>
      </c>
      <c r="J28" s="17">
        <f>Расчет!L170</f>
        <v>788775.49287378252</v>
      </c>
    </row>
    <row r="29" spans="2:10" ht="19.5" customHeight="1" x14ac:dyDescent="0.35">
      <c r="B29" s="1" t="s">
        <v>127</v>
      </c>
      <c r="C29" s="54">
        <f>Расчет!E172</f>
        <v>228255</v>
      </c>
      <c r="D29" s="17">
        <f>Расчет!F172</f>
        <v>220098.73637879879</v>
      </c>
      <c r="E29" s="17">
        <f>Расчет!G172</f>
        <v>232644.84683561861</v>
      </c>
      <c r="F29" s="17">
        <f>Расчет!H172</f>
        <v>242263.53151918051</v>
      </c>
      <c r="G29" s="17">
        <f>Расчет!I172</f>
        <v>249669.91872552311</v>
      </c>
      <c r="H29" s="17">
        <f>Расчет!J172</f>
        <v>255330.51466179924</v>
      </c>
      <c r="J29" s="17">
        <f>Расчет!L172</f>
        <v>258896.69010165322</v>
      </c>
    </row>
    <row r="30" spans="2:10" ht="19.5" customHeight="1" x14ac:dyDescent="0.35">
      <c r="B30" s="1" t="s">
        <v>128</v>
      </c>
      <c r="C30" s="54">
        <f>Расчет!E174+Расчет!E175</f>
        <v>473485</v>
      </c>
      <c r="D30" s="17">
        <f>Расчет!F174+Расчет!F175</f>
        <v>479687.97509930149</v>
      </c>
      <c r="E30" s="17">
        <f>Расчет!G174+Расчет!G175</f>
        <v>495936.49936419673</v>
      </c>
      <c r="F30" s="17">
        <f>Расчет!H174+Расчет!H175</f>
        <v>508296.40130061639</v>
      </c>
      <c r="G30" s="17">
        <f>Расчет!I174+Расчет!I175</f>
        <v>517717.61579165945</v>
      </c>
      <c r="H30" s="17">
        <f>Расчет!J174+Расчет!J175</f>
        <v>524819.82258124254</v>
      </c>
      <c r="J30" s="17">
        <f>Расчет!L174+Расчет!L175</f>
        <v>529139.92285867978</v>
      </c>
    </row>
    <row r="31" spans="2:10" ht="19.5" customHeight="1" x14ac:dyDescent="0.35">
      <c r="B31" s="55" t="s">
        <v>129</v>
      </c>
      <c r="C31" s="56">
        <f t="shared" ref="C31:H31" si="2">SUM(C28:C30)</f>
        <v>919319</v>
      </c>
      <c r="D31" s="28">
        <f t="shared" si="2"/>
        <v>1014839.7842803895</v>
      </c>
      <c r="E31" s="28">
        <f t="shared" si="2"/>
        <v>1128964.6147316205</v>
      </c>
      <c r="F31" s="28">
        <f t="shared" si="2"/>
        <v>1237284.3076753044</v>
      </c>
      <c r="G31" s="28">
        <f t="shared" si="2"/>
        <v>1363113.9666111385</v>
      </c>
      <c r="H31" s="28">
        <f t="shared" si="2"/>
        <v>1478551.5622520288</v>
      </c>
      <c r="J31" s="28">
        <f>SUM(J28:J30)</f>
        <v>1576812.1058341155</v>
      </c>
    </row>
    <row r="32" spans="2:10" ht="19.5" customHeight="1" x14ac:dyDescent="0.35">
      <c r="C32" s="12"/>
      <c r="D32" s="2"/>
      <c r="E32" s="2"/>
      <c r="F32" s="2"/>
      <c r="G32" s="2"/>
      <c r="H32" s="2"/>
      <c r="J32" s="2"/>
    </row>
    <row r="33" spans="2:10" ht="19.5" customHeight="1" x14ac:dyDescent="0.35">
      <c r="C33" s="12"/>
      <c r="D33" s="2"/>
      <c r="E33" s="2"/>
      <c r="F33" s="2"/>
      <c r="G33" s="2"/>
      <c r="H33" s="2"/>
      <c r="J33" s="2"/>
    </row>
    <row r="34" spans="2:10" ht="19.5" customHeight="1" x14ac:dyDescent="0.35">
      <c r="B34" s="60" t="s">
        <v>130</v>
      </c>
      <c r="C34" s="61">
        <v>2023</v>
      </c>
      <c r="D34" s="62">
        <v>2024</v>
      </c>
      <c r="E34" s="62">
        <v>2025</v>
      </c>
      <c r="F34" s="62">
        <v>2026</v>
      </c>
      <c r="G34" s="62">
        <v>2027</v>
      </c>
      <c r="H34" s="62">
        <v>2028</v>
      </c>
      <c r="J34" s="62">
        <v>2029</v>
      </c>
    </row>
    <row r="35" spans="2:10" ht="19.5" customHeight="1" x14ac:dyDescent="0.35">
      <c r="B35" s="1" t="s">
        <v>131</v>
      </c>
      <c r="C35" s="54">
        <f>Расчет!E135+Расчет!E139+Расчет!E141+Расчет!E142</f>
        <v>67611</v>
      </c>
      <c r="D35" s="17">
        <f>Расчет!F135+Расчет!F139+Расчет!F141+Расчет!F142</f>
        <v>36182.481112964917</v>
      </c>
      <c r="E35" s="17">
        <f>Расчет!G135+Расчет!G139+Расчет!G141+Расчет!G142</f>
        <v>79320.159490402875</v>
      </c>
      <c r="F35" s="17">
        <f>Расчет!H135+Расчет!H139+Расчет!H141+Расчет!H142</f>
        <v>95521.063445715641</v>
      </c>
      <c r="G35" s="17">
        <f>Расчет!I135+Расчет!I139+Расчет!I141+Расчет!I142</f>
        <v>111281.26374561014</v>
      </c>
      <c r="H35" s="17">
        <f>Расчет!J135+Расчет!J139+Расчет!J141+Расчет!J142</f>
        <v>123791.94122656586</v>
      </c>
      <c r="J35" s="17">
        <f>Расчет!L135+Расчет!L139+Расчет!L141+Расчет!L142</f>
        <v>125141.61524119112</v>
      </c>
    </row>
    <row r="36" spans="2:10" ht="19.5" customHeight="1" x14ac:dyDescent="0.35">
      <c r="B36" s="18" t="s">
        <v>132</v>
      </c>
      <c r="C36" s="63">
        <f>Расчет!E135+Расчет!E139-Расчет!E110*(1-Допущения!E23)</f>
        <v>139621.6</v>
      </c>
      <c r="D36" s="21">
        <f>Расчет!F135+Расчет!F139-Расчет!F110*(1-Допущения!F23)</f>
        <v>159729.2527341661</v>
      </c>
      <c r="E36" s="21">
        <f>Расчет!G135+Расчет!G139-Расчет!G110*(1-Допущения!G23)</f>
        <v>187269.77469649378</v>
      </c>
      <c r="F36" s="21">
        <f>Расчет!H135+Расчет!H139-Расчет!H110*(1-Допущения!H23)</f>
        <v>207559.12085798354</v>
      </c>
      <c r="G36" s="21">
        <f>Расчет!I135+Расчет!I139-Расчет!I110*(1-Допущения!I23)</f>
        <v>222270.67418717232</v>
      </c>
      <c r="H36" s="21">
        <f>Расчет!J135+Расчет!J139-Расчет!J110*(1-Допущения!J23)</f>
        <v>237024.44471088119</v>
      </c>
      <c r="J36" s="21">
        <f>Расчет!L135+Расчет!L139-Расчет!L110*(1-Допущения!L23)</f>
        <v>241000.34320777841</v>
      </c>
    </row>
    <row r="37" spans="2:10" ht="19.5" customHeight="1" x14ac:dyDescent="0.35">
      <c r="B37" s="1" t="s">
        <v>133</v>
      </c>
      <c r="C37" s="64">
        <f t="shared" ref="C37:H37" si="3">C28/C26</f>
        <v>0.21461347105693526</v>
      </c>
      <c r="D37" s="65">
        <f t="shared" si="3"/>
        <v>0.31170176474764411</v>
      </c>
      <c r="E37" s="65">
        <f t="shared" si="3"/>
        <v>0.39404870602351094</v>
      </c>
      <c r="F37" s="65">
        <f t="shared" si="3"/>
        <v>0.48323489944545922</v>
      </c>
      <c r="G37" s="65">
        <f t="shared" si="3"/>
        <v>0.59024755365099557</v>
      </c>
      <c r="H37" s="65">
        <f t="shared" si="3"/>
        <v>0.70115173472232817</v>
      </c>
      <c r="J37" s="65">
        <f>J28/J26</f>
        <v>0.81697501090864666</v>
      </c>
    </row>
    <row r="38" spans="2:10" ht="19.5" customHeight="1" x14ac:dyDescent="0.35">
      <c r="B38" s="1" t="s">
        <v>134</v>
      </c>
      <c r="C38" s="66">
        <f t="shared" ref="C38:H38" si="4">(C29-C25)/C9</f>
        <v>0.54853565100383084</v>
      </c>
      <c r="D38" s="67">
        <f t="shared" si="4"/>
        <v>0.63913891055396688</v>
      </c>
      <c r="E38" s="67">
        <f t="shared" si="4"/>
        <v>0.71367635113476724</v>
      </c>
      <c r="F38" s="67">
        <f t="shared" si="4"/>
        <v>0.77173091584601727</v>
      </c>
      <c r="G38" s="67">
        <f t="shared" si="4"/>
        <v>0.82841245783144313</v>
      </c>
      <c r="H38" s="67">
        <f t="shared" si="4"/>
        <v>0.88797191121961672</v>
      </c>
      <c r="J38" s="67">
        <f>(J29-J25)/J9</f>
        <v>0.97237474742075558</v>
      </c>
    </row>
    <row r="39" spans="2:10" ht="19.5" customHeight="1" x14ac:dyDescent="0.35">
      <c r="B39" s="18" t="s">
        <v>135</v>
      </c>
      <c r="C39" s="68">
        <f>-Расчет!E104/Расчет!E110</f>
        <v>4.3376353824672629</v>
      </c>
      <c r="D39" s="69">
        <f>-Расчет!F104/Расчет!F110</f>
        <v>2.6451289803549161</v>
      </c>
      <c r="E39" s="69">
        <f>-Расчет!G104/Расчет!G110</f>
        <v>2.6636542945367769</v>
      </c>
      <c r="F39" s="69">
        <f>-Расчет!H104/Расчет!H110</f>
        <v>2.7100687470020368</v>
      </c>
      <c r="G39" s="69">
        <f>-Расчет!I104/Расчет!I110</f>
        <v>2.7601118830365281</v>
      </c>
      <c r="H39" s="69">
        <f>-Расчет!J104/Расчет!J110</f>
        <v>2.6472719705079433</v>
      </c>
      <c r="J39" s="69">
        <f>-Расчет!L104/Расчет!L110</f>
        <v>2.4599663316042668</v>
      </c>
    </row>
    <row r="40" spans="2:10" ht="19.5" customHeight="1" x14ac:dyDescent="0.35">
      <c r="B40" s="1" t="s">
        <v>136</v>
      </c>
      <c r="C40" s="70">
        <f t="shared" ref="C40:H40" si="5">C10/C8</f>
        <v>2.4988723270814108E-2</v>
      </c>
      <c r="D40" s="8">
        <f t="shared" si="5"/>
        <v>2.6328693515505812E-2</v>
      </c>
      <c r="E40" s="8">
        <f t="shared" si="5"/>
        <v>2.0043123132909929E-2</v>
      </c>
      <c r="F40" s="8">
        <f t="shared" si="5"/>
        <v>1.8436821218289368E-2</v>
      </c>
      <c r="G40" s="8">
        <f t="shared" si="5"/>
        <v>2.1751294933674857E-2</v>
      </c>
      <c r="H40" s="8">
        <f t="shared" si="5"/>
        <v>1.951345554100024E-2</v>
      </c>
      <c r="J40" s="8">
        <f>J10/J8</f>
        <v>1.6676110812292443E-2</v>
      </c>
    </row>
    <row r="41" spans="2:10" ht="19.5" customHeight="1" x14ac:dyDescent="0.35">
      <c r="B41" s="1" t="s">
        <v>137</v>
      </c>
      <c r="C41" s="70">
        <f>C10/C28</f>
        <v>0.36129865474149619</v>
      </c>
      <c r="D41" s="8">
        <f>D10/AVERAGE(C28:D28)</f>
        <v>0.36613266447510445</v>
      </c>
      <c r="E41" s="8">
        <f>E10/AVERAGE(D28:E28)</f>
        <v>0.23863199300393717</v>
      </c>
      <c r="F41" s="8">
        <f>F10/AVERAGE(E28:F28)</f>
        <v>0.19473172313157261</v>
      </c>
      <c r="G41" s="8">
        <f>G10/AVERAGE(F28:G28)</f>
        <v>0.20145950153112235</v>
      </c>
      <c r="H41" s="8">
        <f>H10/AVERAGE(G28:H28)</f>
        <v>0.15872931767786178</v>
      </c>
      <c r="J41" s="8">
        <f>J10/AVERAGE(H28:J28)</f>
        <v>0.12158205398576789</v>
      </c>
    </row>
    <row r="42" spans="2:10" ht="19.5" customHeight="1" x14ac:dyDescent="0.35">
      <c r="B42" s="1" t="s">
        <v>138</v>
      </c>
      <c r="C42" s="70">
        <f>C10/C26</f>
        <v>7.7539558382273735E-2</v>
      </c>
      <c r="D42" s="8">
        <f>D10/AVERAGE(C26:D26)</f>
        <v>9.6323680476646245E-2</v>
      </c>
      <c r="E42" s="8">
        <f>E10/AVERAGE(D26:E26)</f>
        <v>8.4233129157516282E-2</v>
      </c>
      <c r="F42" s="8">
        <f>F10/AVERAGE(E26:F26)</f>
        <v>8.5379471844345911E-2</v>
      </c>
      <c r="G42" s="8">
        <f>G10/AVERAGE(F26:G26)</f>
        <v>0.10814263858588344</v>
      </c>
      <c r="H42" s="8">
        <f>H10/AVERAGE(G26:H26)</f>
        <v>0.1024335040864495</v>
      </c>
      <c r="J42" s="8">
        <f>J10/AVERAGE(H26:J26)</f>
        <v>9.2178666357700736E-2</v>
      </c>
    </row>
    <row r="43" spans="2:10" ht="19.5" customHeight="1" x14ac:dyDescent="0.35">
      <c r="B43" s="73"/>
      <c r="C43" s="73"/>
      <c r="D43" s="73"/>
      <c r="E43" s="73"/>
      <c r="F43" s="73"/>
      <c r="G43" s="73"/>
      <c r="H43" s="73"/>
      <c r="J43" s="73"/>
    </row>
    <row r="44" spans="2:10" ht="19.5" customHeight="1" x14ac:dyDescent="0.35">
      <c r="B44" s="73"/>
      <c r="C44" s="73"/>
      <c r="D44" s="73"/>
      <c r="E44" s="73"/>
      <c r="F44" s="73"/>
      <c r="G44" s="73"/>
      <c r="H44" s="73"/>
      <c r="J44" s="73"/>
    </row>
    <row r="45" spans="2:10" ht="19.5" customHeight="1" x14ac:dyDescent="0.35">
      <c r="B45" s="74" t="s">
        <v>139</v>
      </c>
      <c r="C45" s="74"/>
      <c r="D45" s="74"/>
      <c r="E45" s="74"/>
      <c r="F45" s="74"/>
      <c r="G45" s="74"/>
      <c r="H45" s="74"/>
      <c r="J45" s="74"/>
    </row>
    <row r="46" spans="2:10" ht="19.5" customHeight="1" x14ac:dyDescent="0.35">
      <c r="B46" s="74" t="s">
        <v>108</v>
      </c>
      <c r="C46" s="75">
        <f>Расчет!E169/1000</f>
        <v>215.27699999999999</v>
      </c>
      <c r="D46" s="75">
        <f>Расчет!F169/1000</f>
        <v>312.75107280228929</v>
      </c>
      <c r="E46" s="75">
        <f>Расчет!G169/1000</f>
        <v>398.08126853180505</v>
      </c>
      <c r="F46" s="75">
        <f>Расчет!H169/1000</f>
        <v>484.42237485550737</v>
      </c>
      <c r="G46" s="75">
        <f>Расчет!I169/1000</f>
        <v>593.42443209395583</v>
      </c>
      <c r="H46" s="75">
        <f>Расчет!J169/1000</f>
        <v>696.09922500898699</v>
      </c>
      <c r="J46" s="75">
        <f>Расчет!L169/1000</f>
        <v>786.47349287378256</v>
      </c>
    </row>
    <row r="47" spans="2:10" ht="19.5" customHeight="1" x14ac:dyDescent="0.35">
      <c r="B47" s="74" t="s">
        <v>140</v>
      </c>
      <c r="C47" s="75">
        <f t="shared" ref="C47:H47" si="6">C25/1000</f>
        <v>39.103999999999999</v>
      </c>
      <c r="D47" s="75">
        <f t="shared" si="6"/>
        <v>-23.750653887035078</v>
      </c>
      <c r="E47" s="75">
        <f t="shared" si="6"/>
        <v>-53.681391563298853</v>
      </c>
      <c r="F47" s="75">
        <f t="shared" si="6"/>
        <v>-75.784528712027651</v>
      </c>
      <c r="G47" s="75">
        <f t="shared" si="6"/>
        <v>-88.721658874380466</v>
      </c>
      <c r="H47" s="75">
        <f t="shared" si="6"/>
        <v>-94.022498425512126</v>
      </c>
      <c r="J47" s="75">
        <f>J25/1000</f>
        <v>-98.185571269428578</v>
      </c>
    </row>
    <row r="48" spans="2:10" ht="19.5" customHeight="1" x14ac:dyDescent="0.35">
      <c r="B48" s="74"/>
      <c r="C48" s="74"/>
      <c r="D48" s="74"/>
      <c r="E48" s="74"/>
      <c r="F48" s="74"/>
      <c r="G48" s="74"/>
      <c r="H48" s="74"/>
      <c r="J48" s="74"/>
    </row>
    <row r="49" spans="2:11" ht="19.5" customHeight="1" x14ac:dyDescent="0.35">
      <c r="B49" s="74"/>
      <c r="C49" s="74"/>
      <c r="D49" s="74"/>
      <c r="E49" s="74"/>
      <c r="F49" s="74"/>
      <c r="G49" s="74"/>
      <c r="H49" s="74"/>
      <c r="J49" s="74"/>
      <c r="K49" s="73"/>
    </row>
    <row r="50" spans="2:11" ht="19.5" customHeight="1" x14ac:dyDescent="0.35">
      <c r="B50" s="74" t="s">
        <v>76</v>
      </c>
      <c r="C50" s="75">
        <f>ROUND(Расчет!E104/1000,0)</f>
        <v>345</v>
      </c>
      <c r="D50" s="75">
        <f>ROUND(Расчет!F104/1000,0)</f>
        <v>382</v>
      </c>
      <c r="E50" s="75">
        <f>ROUND(Расчет!G104/1000,0)</f>
        <v>401</v>
      </c>
      <c r="F50" s="75">
        <f>ROUND(Расчет!H104/1000,0)</f>
        <v>412</v>
      </c>
      <c r="G50" s="75">
        <f>ROUND(Расчет!I104/1000,0)</f>
        <v>408</v>
      </c>
      <c r="H50" s="75">
        <f>ROUND(Расчет!J104/1000,0)</f>
        <v>393</v>
      </c>
      <c r="J50" s="75">
        <f>ROUND(Расчет!L104/1000,0)</f>
        <v>367</v>
      </c>
      <c r="K50" s="73"/>
    </row>
    <row r="51" spans="2:11" ht="19.5" customHeight="1" x14ac:dyDescent="0.35">
      <c r="B51" s="74" t="s">
        <v>141</v>
      </c>
      <c r="C51" s="75">
        <f>ROUND((-Расчет!E100-Расчет!E95-Расчет!E101)/1000,0)</f>
        <v>549</v>
      </c>
      <c r="D51" s="75">
        <f>ROUND((-Расчет!F100-Расчет!F95-Расчет!F101)/1000,0)</f>
        <v>660</v>
      </c>
      <c r="E51" s="75">
        <f>ROUND((-Расчет!G100-Расчет!G95-Расчет!G101)/1000,0)</f>
        <v>773</v>
      </c>
      <c r="F51" s="75">
        <f>ROUND((-Расчет!H100-Расчет!H95-Расчет!H101)/1000,0)</f>
        <v>861</v>
      </c>
      <c r="G51" s="75">
        <f>ROUND((-Расчет!I100-Расчет!I95-Расчет!I101)/1000,0)</f>
        <v>933</v>
      </c>
      <c r="H51" s="75">
        <f>ROUND((-Расчет!J100-Расчет!J95-Расчет!J101)/1000,0)</f>
        <v>993</v>
      </c>
      <c r="J51" s="75">
        <f>ROUND((-Расчет!L100-Расчет!L95-Расчет!L101)/1000,0)</f>
        <v>1037</v>
      </c>
      <c r="K51" s="73"/>
    </row>
    <row r="52" spans="2:11" ht="19.5" customHeight="1" x14ac:dyDescent="0.35">
      <c r="B52" s="74" t="s">
        <v>142</v>
      </c>
      <c r="C52" s="75">
        <f>ROUND((-Расчет!E94-Расчет!E99)/1000,0)</f>
        <v>457</v>
      </c>
      <c r="D52" s="75">
        <f>ROUND((-Расчет!F94-Расчет!F99)/1000,0)</f>
        <v>565</v>
      </c>
      <c r="E52" s="75">
        <f>ROUND((-Расчет!G94-Расчет!G99)/1000,0)</f>
        <v>673</v>
      </c>
      <c r="F52" s="75">
        <f>ROUND((-Расчет!H94-Расчет!H99)/1000,0)</f>
        <v>759</v>
      </c>
      <c r="G52" s="75">
        <f>ROUND((-Расчет!I94-Расчет!I99)/1000,0)</f>
        <v>832</v>
      </c>
      <c r="H52" s="75">
        <f>ROUND((-Расчет!J94-Расчет!J99)/1000,0)</f>
        <v>896</v>
      </c>
      <c r="J52" s="75">
        <f>ROUND((-Расчет!L94-Расчет!L99)/1000,0)</f>
        <v>947</v>
      </c>
      <c r="K52" s="73"/>
    </row>
    <row r="53" spans="2:11" ht="19.5" customHeight="1" x14ac:dyDescent="0.35">
      <c r="B53" s="74" t="s">
        <v>9</v>
      </c>
      <c r="C53" s="75">
        <f>ROUND(-Расчет!E93/1000,0)</f>
        <v>1795</v>
      </c>
      <c r="D53" s="75">
        <f>ROUND(-Расчет!F93/1000,0)</f>
        <v>2097</v>
      </c>
      <c r="E53" s="75">
        <f>ROUND(-Расчет!G93/1000,0)</f>
        <v>2412</v>
      </c>
      <c r="F53" s="75">
        <f>ROUND(-Расчет!H93/1000,0)</f>
        <v>2653</v>
      </c>
      <c r="G53" s="75">
        <f>ROUND(-Расчет!I93/1000,0)</f>
        <v>2839</v>
      </c>
      <c r="H53" s="75">
        <f>ROUND(-Расчет!J93/1000,0)</f>
        <v>2980</v>
      </c>
      <c r="J53" s="75">
        <f>ROUND(-Расчет!L93/1000,0)</f>
        <v>3070</v>
      </c>
      <c r="K53" s="73"/>
    </row>
    <row r="54" spans="2:11" ht="19.5" customHeight="1" x14ac:dyDescent="0.35">
      <c r="B54" s="74"/>
      <c r="C54" s="75">
        <f>ROUND(Расчет!E22/1000,0)</f>
        <v>3139</v>
      </c>
      <c r="D54" s="75">
        <f>ROUND(Расчет!F22/1000,0)</f>
        <v>3703</v>
      </c>
      <c r="E54" s="75">
        <f>ROUND(Расчет!G22/1000,0)</f>
        <v>4259</v>
      </c>
      <c r="F54" s="75">
        <f>ROUND(Расчет!H22/1000,0)</f>
        <v>4685</v>
      </c>
      <c r="G54" s="75">
        <f>ROUND(Расчет!I22/1000,0)</f>
        <v>5013</v>
      </c>
      <c r="H54" s="75">
        <f>ROUND(Расчет!J22/1000,0)</f>
        <v>5263</v>
      </c>
      <c r="J54" s="75">
        <f>ROUND(Расчет!L22/1000,0)</f>
        <v>5421</v>
      </c>
      <c r="K54" s="73"/>
    </row>
    <row r="55" spans="2:11" ht="19.5" customHeight="1" x14ac:dyDescent="0.35">
      <c r="B55" s="76" t="s">
        <v>143</v>
      </c>
      <c r="C55" s="77">
        <f t="shared" ref="C55:H55" si="7">C54-SUM(C50:C53)</f>
        <v>-7</v>
      </c>
      <c r="D55" s="77">
        <f t="shared" si="7"/>
        <v>-1</v>
      </c>
      <c r="E55" s="77">
        <f t="shared" si="7"/>
        <v>0</v>
      </c>
      <c r="F55" s="77">
        <f t="shared" si="7"/>
        <v>0</v>
      </c>
      <c r="G55" s="77">
        <f t="shared" si="7"/>
        <v>1</v>
      </c>
      <c r="H55" s="77">
        <f t="shared" si="7"/>
        <v>1</v>
      </c>
      <c r="J55" s="77">
        <f>J54-SUM(J50:J53)</f>
        <v>0</v>
      </c>
      <c r="K55" s="73"/>
    </row>
    <row r="56" spans="2:11" ht="15.75" customHeight="1" x14ac:dyDescent="0.35">
      <c r="B56" s="73"/>
      <c r="C56" s="73"/>
      <c r="D56" s="73"/>
      <c r="E56" s="73"/>
      <c r="F56" s="73"/>
      <c r="G56" s="73"/>
      <c r="H56" s="73"/>
      <c r="J56" s="73"/>
      <c r="K56" s="73"/>
    </row>
    <row r="57" spans="2:11" ht="15.75" customHeight="1" x14ac:dyDescent="0.35">
      <c r="B57" s="73"/>
      <c r="C57" s="73"/>
      <c r="D57" s="73"/>
      <c r="E57" s="73"/>
      <c r="F57" s="73"/>
      <c r="G57" s="73"/>
      <c r="H57" s="73"/>
      <c r="J57" s="73"/>
      <c r="K57" s="73"/>
    </row>
    <row r="58" spans="2:11" ht="15.75" customHeight="1" x14ac:dyDescent="0.35">
      <c r="B58" s="73"/>
      <c r="C58" s="73"/>
      <c r="D58" s="73"/>
      <c r="E58" s="73"/>
      <c r="F58" s="73"/>
      <c r="G58" s="73"/>
      <c r="H58" s="73"/>
      <c r="J58" s="73"/>
      <c r="K58" s="73"/>
    </row>
    <row r="59" spans="2:11" ht="15.75" customHeight="1" x14ac:dyDescent="0.35">
      <c r="B59" s="73"/>
      <c r="C59" s="73"/>
      <c r="D59" s="73"/>
      <c r="E59" s="73"/>
      <c r="F59" s="73"/>
      <c r="G59" s="73"/>
      <c r="H59" s="73"/>
      <c r="J59" s="73"/>
      <c r="K59" s="73"/>
    </row>
    <row r="60" spans="2:11" ht="15.75" customHeight="1" x14ac:dyDescent="0.35">
      <c r="B60" s="73"/>
      <c r="C60" s="73"/>
      <c r="D60" s="73"/>
      <c r="E60" s="73"/>
      <c r="F60" s="73"/>
      <c r="G60" s="73"/>
      <c r="H60" s="73"/>
      <c r="J60" s="73"/>
      <c r="K60" s="73"/>
    </row>
    <row r="61" spans="2:11" ht="15.75" customHeight="1" x14ac:dyDescent="0.35">
      <c r="B61" s="73"/>
      <c r="C61" s="73"/>
      <c r="D61" s="73"/>
      <c r="E61" s="73"/>
      <c r="F61" s="73"/>
      <c r="G61" s="73"/>
      <c r="H61" s="73"/>
      <c r="J61" s="73"/>
      <c r="K61" s="73"/>
    </row>
    <row r="62" spans="2:11" ht="15.75" customHeight="1" x14ac:dyDescent="0.35">
      <c r="B62" s="73"/>
      <c r="C62" s="73"/>
      <c r="D62" s="73"/>
      <c r="E62" s="73"/>
      <c r="F62" s="73"/>
      <c r="G62" s="73"/>
      <c r="H62" s="73"/>
      <c r="J62" s="73"/>
      <c r="K62" s="73"/>
    </row>
    <row r="63" spans="2:11" ht="15.75" customHeight="1" x14ac:dyDescent="0.35">
      <c r="B63" s="73"/>
      <c r="C63" s="73"/>
      <c r="D63" s="73"/>
      <c r="E63" s="73"/>
      <c r="F63" s="73"/>
      <c r="G63" s="73"/>
      <c r="H63" s="73"/>
      <c r="J63" s="73"/>
      <c r="K63" s="73"/>
    </row>
    <row r="64" spans="2:11" ht="15.75" customHeight="1" x14ac:dyDescent="0.35">
      <c r="B64" s="73"/>
      <c r="C64" s="73"/>
      <c r="D64" s="73"/>
      <c r="E64" s="73"/>
      <c r="F64" s="73"/>
      <c r="G64" s="73"/>
      <c r="H64" s="73"/>
      <c r="J64" s="73"/>
      <c r="K64" s="73"/>
    </row>
    <row r="65" spans="2:11" ht="15.75" customHeight="1" x14ac:dyDescent="0.35">
      <c r="B65" s="73"/>
      <c r="C65" s="73"/>
      <c r="D65" s="73"/>
      <c r="E65" s="73"/>
      <c r="F65" s="73"/>
      <c r="G65" s="73"/>
      <c r="H65" s="73"/>
      <c r="J65" s="73"/>
      <c r="K65" s="73"/>
    </row>
    <row r="66" spans="2:11" ht="15.75" customHeight="1" x14ac:dyDescent="0.35">
      <c r="B66" s="73"/>
      <c r="C66" s="73"/>
      <c r="D66" s="73"/>
      <c r="E66" s="73"/>
      <c r="F66" s="73"/>
      <c r="G66" s="73"/>
      <c r="H66" s="73"/>
      <c r="J66" s="73"/>
      <c r="K66" s="73"/>
    </row>
    <row r="67" spans="2:11" ht="15.75" customHeight="1" x14ac:dyDescent="0.35">
      <c r="B67" s="73"/>
      <c r="C67" s="73"/>
      <c r="D67" s="73"/>
      <c r="E67" s="73"/>
      <c r="F67" s="73"/>
      <c r="G67" s="73"/>
      <c r="H67" s="73"/>
      <c r="J67" s="73"/>
      <c r="K67" s="73"/>
    </row>
    <row r="68" spans="2:11" ht="15.75" customHeight="1" x14ac:dyDescent="0.35">
      <c r="B68" s="73"/>
      <c r="C68" s="73"/>
      <c r="D68" s="73"/>
      <c r="E68" s="73"/>
      <c r="F68" s="73"/>
      <c r="G68" s="73"/>
      <c r="H68" s="73"/>
      <c r="J68" s="73"/>
      <c r="K68" s="73"/>
    </row>
    <row r="69" spans="2:11" ht="15.75" customHeight="1" x14ac:dyDescent="0.35">
      <c r="B69" s="73"/>
      <c r="C69" s="73"/>
      <c r="D69" s="73"/>
      <c r="E69" s="73"/>
      <c r="F69" s="73"/>
      <c r="G69" s="73"/>
      <c r="H69" s="73"/>
      <c r="J69" s="73"/>
      <c r="K69" s="73"/>
    </row>
    <row r="70" spans="2:11" ht="15.75" customHeight="1" x14ac:dyDescent="0.35">
      <c r="B70" s="73"/>
      <c r="C70" s="73"/>
      <c r="D70" s="73"/>
      <c r="E70" s="73"/>
      <c r="F70" s="73"/>
      <c r="G70" s="73"/>
      <c r="H70" s="73"/>
      <c r="J70" s="73"/>
      <c r="K70" s="73"/>
    </row>
    <row r="71" spans="2:11" ht="15.75" customHeight="1" x14ac:dyDescent="0.35">
      <c r="B71" s="73"/>
      <c r="C71" s="73"/>
      <c r="D71" s="73"/>
      <c r="E71" s="73"/>
      <c r="F71" s="73"/>
      <c r="G71" s="73"/>
      <c r="H71" s="73"/>
      <c r="J71" s="73"/>
      <c r="K71" s="73"/>
    </row>
    <row r="72" spans="2:11" ht="15.75" customHeight="1" x14ac:dyDescent="0.35">
      <c r="B72" s="73"/>
      <c r="C72" s="73"/>
      <c r="D72" s="73"/>
      <c r="E72" s="73"/>
      <c r="F72" s="73"/>
      <c r="G72" s="73"/>
      <c r="H72" s="73"/>
      <c r="J72" s="73"/>
      <c r="K72" s="73"/>
    </row>
    <row r="73" spans="2:11" ht="15.75" customHeight="1" x14ac:dyDescent="0.35">
      <c r="B73" s="73"/>
      <c r="C73" s="73"/>
      <c r="D73" s="73"/>
      <c r="E73" s="73"/>
      <c r="F73" s="73"/>
      <c r="G73" s="73"/>
      <c r="H73" s="73"/>
      <c r="J73" s="73"/>
      <c r="K73" s="73"/>
    </row>
    <row r="74" spans="2:11" ht="15.75" customHeight="1" x14ac:dyDescent="0.35">
      <c r="B74" s="73"/>
      <c r="C74" s="73"/>
      <c r="D74" s="73"/>
      <c r="E74" s="73"/>
      <c r="F74" s="73"/>
      <c r="G74" s="73"/>
      <c r="H74" s="73"/>
      <c r="J74" s="73"/>
      <c r="K74" s="73"/>
    </row>
    <row r="75" spans="2:11" ht="15.75" customHeight="1" x14ac:dyDescent="0.35">
      <c r="B75" s="73"/>
      <c r="C75" s="73"/>
      <c r="D75" s="73"/>
      <c r="E75" s="73"/>
      <c r="F75" s="73"/>
      <c r="G75" s="73"/>
      <c r="H75" s="73"/>
      <c r="J75" s="73"/>
      <c r="K75" s="73"/>
    </row>
    <row r="76" spans="2:11" ht="15.75" customHeight="1" x14ac:dyDescent="0.35">
      <c r="B76" s="73"/>
      <c r="C76" s="73"/>
      <c r="D76" s="73"/>
      <c r="E76" s="73"/>
      <c r="F76" s="73"/>
      <c r="G76" s="73"/>
      <c r="H76" s="73"/>
      <c r="J76" s="73"/>
      <c r="K76" s="73"/>
    </row>
    <row r="77" spans="2:11" ht="15.75" customHeight="1" x14ac:dyDescent="0.35">
      <c r="B77" s="73"/>
      <c r="C77" s="73"/>
      <c r="D77" s="73"/>
      <c r="E77" s="73"/>
      <c r="F77" s="73"/>
      <c r="G77" s="73"/>
      <c r="H77" s="73"/>
      <c r="J77" s="73"/>
      <c r="K77" s="73"/>
    </row>
    <row r="78" spans="2:11" ht="15.75" customHeight="1" x14ac:dyDescent="0.35">
      <c r="B78" s="73"/>
      <c r="C78" s="73"/>
      <c r="D78" s="73"/>
      <c r="E78" s="73"/>
      <c r="F78" s="73"/>
      <c r="G78" s="73"/>
      <c r="H78" s="73"/>
      <c r="J78" s="73"/>
      <c r="K78" s="73"/>
    </row>
    <row r="79" spans="2:11" ht="15.75" customHeight="1" x14ac:dyDescent="0.35">
      <c r="B79" s="73"/>
      <c r="C79" s="73"/>
      <c r="D79" s="73"/>
      <c r="E79" s="73"/>
      <c r="F79" s="73"/>
      <c r="G79" s="73"/>
      <c r="H79" s="73"/>
      <c r="J79" s="73"/>
      <c r="K79" s="73"/>
    </row>
    <row r="80" spans="2:11" ht="15.75" customHeight="1" x14ac:dyDescent="0.35">
      <c r="B80" s="73"/>
      <c r="C80" s="73"/>
      <c r="D80" s="73"/>
      <c r="E80" s="73"/>
      <c r="F80" s="73"/>
      <c r="G80" s="73"/>
      <c r="H80" s="73"/>
      <c r="J80" s="73"/>
      <c r="K80" s="73"/>
    </row>
    <row r="81" spans="2:11" ht="15.75" customHeight="1" x14ac:dyDescent="0.35">
      <c r="B81" s="73"/>
      <c r="C81" s="73"/>
      <c r="D81" s="73"/>
      <c r="E81" s="73"/>
      <c r="F81" s="73"/>
      <c r="G81" s="73"/>
      <c r="H81" s="73"/>
      <c r="J81" s="73"/>
      <c r="K81" s="73"/>
    </row>
    <row r="82" spans="2:11" ht="15.75" customHeight="1" x14ac:dyDescent="0.35">
      <c r="B82" s="73"/>
      <c r="C82" s="73"/>
      <c r="D82" s="73"/>
      <c r="E82" s="73"/>
      <c r="F82" s="73"/>
      <c r="G82" s="73"/>
      <c r="H82" s="73"/>
      <c r="J82" s="73"/>
      <c r="K82" s="73"/>
    </row>
    <row r="83" spans="2:11" ht="15.75" customHeight="1" x14ac:dyDescent="0.35">
      <c r="B83" s="73"/>
      <c r="C83" s="73"/>
      <c r="D83" s="73"/>
      <c r="E83" s="73"/>
      <c r="F83" s="73"/>
      <c r="G83" s="73"/>
      <c r="H83" s="73"/>
      <c r="J83" s="73"/>
      <c r="K83" s="73"/>
    </row>
    <row r="84" spans="2:11" ht="15.75" customHeight="1" x14ac:dyDescent="0.35">
      <c r="B84" s="73"/>
      <c r="C84" s="73"/>
      <c r="D84" s="73"/>
      <c r="E84" s="73"/>
      <c r="F84" s="73"/>
      <c r="G84" s="73"/>
      <c r="H84" s="73"/>
      <c r="J84" s="73"/>
      <c r="K84" s="73"/>
    </row>
    <row r="85" spans="2:11" ht="15.75" customHeight="1" x14ac:dyDescent="0.35">
      <c r="B85" s="73"/>
      <c r="C85" s="73"/>
      <c r="D85" s="73"/>
      <c r="E85" s="73"/>
      <c r="F85" s="73"/>
      <c r="G85" s="73"/>
      <c r="H85" s="73"/>
      <c r="J85" s="73"/>
      <c r="K85" s="73"/>
    </row>
    <row r="86" spans="2:11" ht="15.75" customHeight="1" x14ac:dyDescent="0.35">
      <c r="B86" s="73"/>
      <c r="C86" s="73"/>
      <c r="D86" s="73"/>
      <c r="E86" s="73"/>
      <c r="F86" s="73"/>
      <c r="G86" s="73"/>
      <c r="H86" s="73"/>
      <c r="J86" s="73"/>
      <c r="K86" s="73"/>
    </row>
    <row r="87" spans="2:11" ht="15.75" customHeight="1" x14ac:dyDescent="0.35">
      <c r="B87" s="73"/>
      <c r="C87" s="73"/>
      <c r="D87" s="73"/>
      <c r="E87" s="73"/>
      <c r="F87" s="73"/>
      <c r="G87" s="73"/>
      <c r="H87" s="73"/>
      <c r="J87" s="73"/>
      <c r="K87" s="73"/>
    </row>
    <row r="88" spans="2:11" ht="15.75" customHeight="1" x14ac:dyDescent="0.35">
      <c r="B88" s="73"/>
      <c r="C88" s="73"/>
      <c r="D88" s="73"/>
      <c r="E88" s="73"/>
      <c r="F88" s="73"/>
      <c r="G88" s="73"/>
      <c r="H88" s="73"/>
      <c r="J88" s="73"/>
      <c r="K88" s="73"/>
    </row>
    <row r="89" spans="2:11" ht="15.75" customHeight="1" x14ac:dyDescent="0.35">
      <c r="B89" s="73"/>
      <c r="C89" s="73"/>
      <c r="D89" s="73"/>
      <c r="E89" s="73"/>
      <c r="F89" s="73"/>
      <c r="G89" s="73"/>
      <c r="H89" s="73"/>
      <c r="J89" s="73"/>
      <c r="K89" s="73"/>
    </row>
    <row r="90" spans="2:11" ht="15.75" customHeight="1" x14ac:dyDescent="0.35">
      <c r="B90" s="73"/>
      <c r="C90" s="73"/>
      <c r="D90" s="73"/>
      <c r="E90" s="73"/>
      <c r="F90" s="73"/>
      <c r="G90" s="73"/>
      <c r="H90" s="73"/>
      <c r="J90" s="73"/>
      <c r="K90" s="73"/>
    </row>
    <row r="91" spans="2:11" ht="15.75" customHeight="1" x14ac:dyDescent="0.35">
      <c r="B91" s="73"/>
      <c r="C91" s="73"/>
      <c r="D91" s="73"/>
      <c r="E91" s="73"/>
      <c r="F91" s="73"/>
      <c r="G91" s="73"/>
      <c r="H91" s="73"/>
      <c r="J91" s="73"/>
      <c r="K91" s="73"/>
    </row>
    <row r="92" spans="2:11" ht="15.75" customHeight="1" x14ac:dyDescent="0.35">
      <c r="B92" s="73"/>
      <c r="C92" s="73"/>
      <c r="D92" s="73"/>
      <c r="E92" s="73"/>
      <c r="F92" s="73"/>
      <c r="G92" s="73"/>
      <c r="H92" s="73"/>
      <c r="J92" s="73"/>
      <c r="K92" s="73"/>
    </row>
    <row r="93" spans="2:11" ht="15.75" customHeight="1" x14ac:dyDescent="0.35">
      <c r="B93" s="73"/>
      <c r="C93" s="73"/>
      <c r="D93" s="73"/>
      <c r="E93" s="73"/>
      <c r="F93" s="73"/>
      <c r="G93" s="73"/>
      <c r="H93" s="73"/>
      <c r="J93" s="73"/>
      <c r="K93" s="73"/>
    </row>
    <row r="94" spans="2:11" ht="15.75" customHeight="1" x14ac:dyDescent="0.35">
      <c r="B94" s="73"/>
      <c r="C94" s="73"/>
      <c r="D94" s="73"/>
      <c r="E94" s="73"/>
      <c r="F94" s="73"/>
      <c r="G94" s="73"/>
      <c r="H94" s="73"/>
      <c r="J94" s="73"/>
      <c r="K94" s="73"/>
    </row>
    <row r="95" spans="2:11" ht="15.75" customHeight="1" x14ac:dyDescent="0.35">
      <c r="B95" s="73"/>
      <c r="C95" s="73"/>
      <c r="D95" s="73"/>
      <c r="E95" s="73"/>
      <c r="F95" s="73"/>
      <c r="G95" s="73"/>
      <c r="H95" s="73"/>
      <c r="J95" s="73"/>
      <c r="K95" s="73"/>
    </row>
    <row r="96" spans="2:11" ht="15.75" customHeight="1" x14ac:dyDescent="0.35">
      <c r="B96" s="73"/>
      <c r="C96" s="73"/>
      <c r="D96" s="73"/>
      <c r="E96" s="73"/>
      <c r="F96" s="73"/>
      <c r="G96" s="73"/>
      <c r="H96" s="73"/>
      <c r="J96" s="73"/>
      <c r="K96" s="73"/>
    </row>
    <row r="97" spans="2:11" ht="15.75" customHeight="1" x14ac:dyDescent="0.35">
      <c r="B97" s="73"/>
      <c r="C97" s="73"/>
      <c r="D97" s="73"/>
      <c r="E97" s="73"/>
      <c r="F97" s="73"/>
      <c r="G97" s="73"/>
      <c r="H97" s="73"/>
      <c r="J97" s="73"/>
      <c r="K97" s="73"/>
    </row>
    <row r="98" spans="2:11" ht="15.75" customHeight="1" x14ac:dyDescent="0.35">
      <c r="B98" s="73"/>
      <c r="C98" s="73"/>
      <c r="D98" s="73"/>
      <c r="E98" s="73"/>
      <c r="F98" s="73"/>
      <c r="G98" s="73"/>
      <c r="H98" s="73"/>
      <c r="J98" s="73"/>
      <c r="K98" s="73"/>
    </row>
    <row r="99" spans="2:11" ht="15.75" customHeight="1" x14ac:dyDescent="0.35">
      <c r="B99" s="73"/>
      <c r="C99" s="73"/>
      <c r="D99" s="73"/>
      <c r="E99" s="73"/>
      <c r="F99" s="73"/>
      <c r="G99" s="73"/>
      <c r="H99" s="73"/>
      <c r="J99" s="73"/>
      <c r="K99" s="73"/>
    </row>
    <row r="100" spans="2:11" ht="15.75" customHeight="1" x14ac:dyDescent="0.35">
      <c r="B100" s="73"/>
      <c r="C100" s="73"/>
      <c r="D100" s="73"/>
      <c r="E100" s="73"/>
      <c r="F100" s="73"/>
      <c r="G100" s="73"/>
      <c r="H100" s="73"/>
      <c r="J100" s="73"/>
      <c r="K100" s="73"/>
    </row>
    <row r="101" spans="2:11" ht="15.75" customHeight="1" x14ac:dyDescent="0.35">
      <c r="B101" s="73"/>
      <c r="C101" s="73"/>
      <c r="D101" s="73"/>
      <c r="E101" s="73"/>
      <c r="F101" s="73"/>
      <c r="G101" s="73"/>
      <c r="H101" s="73"/>
      <c r="J101" s="73"/>
      <c r="K101" s="73"/>
    </row>
    <row r="102" spans="2:11" ht="15.75" customHeight="1" x14ac:dyDescent="0.35">
      <c r="B102" s="73"/>
      <c r="C102" s="73"/>
      <c r="D102" s="73"/>
      <c r="E102" s="73"/>
      <c r="F102" s="73"/>
      <c r="G102" s="73"/>
      <c r="H102" s="73"/>
      <c r="J102" s="73"/>
      <c r="K102" s="73"/>
    </row>
    <row r="103" spans="2:11" ht="15.75" customHeight="1" x14ac:dyDescent="0.35">
      <c r="B103" s="73"/>
      <c r="C103" s="73"/>
      <c r="D103" s="73"/>
      <c r="E103" s="73"/>
      <c r="F103" s="73"/>
      <c r="G103" s="73"/>
      <c r="H103" s="73"/>
      <c r="J103" s="73"/>
      <c r="K103" s="73"/>
    </row>
    <row r="104" spans="2:11" ht="15.75" customHeight="1" x14ac:dyDescent="0.35">
      <c r="B104" s="73"/>
      <c r="C104" s="73"/>
      <c r="D104" s="73"/>
      <c r="E104" s="73"/>
      <c r="F104" s="73"/>
      <c r="G104" s="73"/>
      <c r="H104" s="73"/>
      <c r="J104" s="73"/>
      <c r="K104" s="73"/>
    </row>
    <row r="105" spans="2:11" ht="15.75" customHeight="1" x14ac:dyDescent="0.35">
      <c r="B105" s="73"/>
      <c r="C105" s="73"/>
      <c r="D105" s="73"/>
      <c r="E105" s="73"/>
      <c r="F105" s="73"/>
      <c r="G105" s="73"/>
      <c r="H105" s="73"/>
      <c r="J105" s="73"/>
      <c r="K105" s="73"/>
    </row>
    <row r="106" spans="2:11" ht="15.75" customHeight="1" x14ac:dyDescent="0.35">
      <c r="B106" s="73"/>
      <c r="C106" s="73"/>
      <c r="D106" s="73"/>
      <c r="E106" s="73"/>
      <c r="F106" s="73"/>
      <c r="G106" s="73"/>
      <c r="H106" s="73"/>
      <c r="J106" s="73"/>
      <c r="K106" s="73"/>
    </row>
    <row r="107" spans="2:11" ht="15.75" customHeight="1" x14ac:dyDescent="0.35">
      <c r="B107" s="73"/>
      <c r="C107" s="73"/>
      <c r="D107" s="73"/>
      <c r="E107" s="73"/>
      <c r="F107" s="73"/>
      <c r="G107" s="73"/>
      <c r="H107" s="73"/>
      <c r="J107" s="73"/>
      <c r="K107" s="73"/>
    </row>
    <row r="108" spans="2:11" ht="15.75" customHeight="1" x14ac:dyDescent="0.35">
      <c r="B108" s="73"/>
      <c r="C108" s="73"/>
      <c r="D108" s="73"/>
      <c r="E108" s="73"/>
      <c r="F108" s="73"/>
      <c r="G108" s="73"/>
      <c r="H108" s="73"/>
      <c r="J108" s="73"/>
      <c r="K108" s="73"/>
    </row>
    <row r="109" spans="2:11" ht="15.75" customHeight="1" x14ac:dyDescent="0.35">
      <c r="B109" s="73"/>
      <c r="C109" s="73"/>
      <c r="D109" s="73"/>
      <c r="E109" s="73"/>
      <c r="F109" s="73"/>
      <c r="G109" s="73"/>
      <c r="H109" s="73"/>
      <c r="J109" s="73"/>
      <c r="K109" s="73"/>
    </row>
    <row r="110" spans="2:11" ht="15.75" customHeight="1" x14ac:dyDescent="0.35">
      <c r="B110" s="73"/>
      <c r="C110" s="73"/>
      <c r="D110" s="73"/>
      <c r="E110" s="73"/>
      <c r="F110" s="73"/>
      <c r="G110" s="73"/>
      <c r="H110" s="73"/>
      <c r="J110" s="73"/>
      <c r="K110" s="73"/>
    </row>
    <row r="111" spans="2:11" ht="15.75" customHeight="1" x14ac:dyDescent="0.35">
      <c r="B111" s="73"/>
      <c r="C111" s="73"/>
      <c r="D111" s="73"/>
      <c r="E111" s="73"/>
      <c r="F111" s="73"/>
      <c r="G111" s="73"/>
      <c r="H111" s="73"/>
      <c r="J111" s="73"/>
      <c r="K111" s="73"/>
    </row>
    <row r="112" spans="2:11" ht="15.75" customHeight="1" x14ac:dyDescent="0.35">
      <c r="B112" s="73"/>
      <c r="C112" s="73"/>
      <c r="D112" s="73"/>
      <c r="E112" s="73"/>
      <c r="F112" s="73"/>
      <c r="G112" s="73"/>
      <c r="H112" s="73"/>
      <c r="J112" s="73"/>
      <c r="K112" s="73"/>
    </row>
    <row r="113" spans="2:11" ht="15.75" customHeight="1" x14ac:dyDescent="0.35">
      <c r="B113" s="73"/>
      <c r="C113" s="73"/>
      <c r="D113" s="73"/>
      <c r="E113" s="73"/>
      <c r="F113" s="73"/>
      <c r="G113" s="73"/>
      <c r="H113" s="73"/>
      <c r="J113" s="73"/>
      <c r="K113" s="73"/>
    </row>
    <row r="114" spans="2:11" ht="15.75" customHeight="1" x14ac:dyDescent="0.35">
      <c r="B114" s="73"/>
      <c r="C114" s="73"/>
      <c r="D114" s="73"/>
      <c r="E114" s="73"/>
      <c r="F114" s="73"/>
      <c r="G114" s="73"/>
      <c r="H114" s="73"/>
      <c r="J114" s="73"/>
      <c r="K114" s="73"/>
    </row>
    <row r="115" spans="2:11" ht="15.75" customHeight="1" x14ac:dyDescent="0.35">
      <c r="B115" s="73"/>
      <c r="C115" s="73"/>
      <c r="D115" s="73"/>
      <c r="E115" s="73"/>
      <c r="F115" s="73"/>
      <c r="G115" s="73"/>
      <c r="H115" s="73"/>
      <c r="J115" s="73"/>
      <c r="K115" s="73"/>
    </row>
    <row r="116" spans="2:11" ht="15.75" customHeight="1" x14ac:dyDescent="0.35">
      <c r="B116" s="73"/>
      <c r="C116" s="73"/>
      <c r="D116" s="73"/>
      <c r="E116" s="73"/>
      <c r="F116" s="73"/>
      <c r="G116" s="73"/>
      <c r="H116" s="73"/>
      <c r="J116" s="73"/>
      <c r="K116" s="73"/>
    </row>
    <row r="117" spans="2:11" ht="15.75" customHeight="1" x14ac:dyDescent="0.35">
      <c r="B117" s="73"/>
      <c r="C117" s="73"/>
      <c r="D117" s="73"/>
      <c r="E117" s="73"/>
      <c r="F117" s="73"/>
      <c r="G117" s="73"/>
      <c r="H117" s="73"/>
      <c r="J117" s="73"/>
      <c r="K117" s="73"/>
    </row>
    <row r="118" spans="2:11" ht="15.75" customHeight="1" x14ac:dyDescent="0.35">
      <c r="B118" s="73"/>
      <c r="C118" s="73"/>
      <c r="D118" s="73"/>
      <c r="E118" s="73"/>
      <c r="F118" s="73"/>
      <c r="G118" s="73"/>
      <c r="H118" s="73"/>
      <c r="J118" s="73"/>
      <c r="K118" s="73"/>
    </row>
    <row r="119" spans="2:11" ht="15.75" customHeight="1" x14ac:dyDescent="0.35">
      <c r="B119" s="73"/>
      <c r="C119" s="73"/>
      <c r="D119" s="73"/>
      <c r="E119" s="73"/>
      <c r="F119" s="73"/>
      <c r="G119" s="73"/>
      <c r="H119" s="73"/>
      <c r="J119" s="73"/>
      <c r="K119" s="73"/>
    </row>
    <row r="120" spans="2:11" ht="15.75" customHeight="1" x14ac:dyDescent="0.35">
      <c r="B120" s="73"/>
      <c r="C120" s="73"/>
      <c r="D120" s="73"/>
      <c r="E120" s="73"/>
      <c r="F120" s="73"/>
      <c r="G120" s="73"/>
      <c r="H120" s="73"/>
      <c r="J120" s="73"/>
      <c r="K120" s="73"/>
    </row>
    <row r="121" spans="2:11" ht="15.75" customHeight="1" x14ac:dyDescent="0.35">
      <c r="B121" s="73"/>
      <c r="C121" s="73"/>
      <c r="D121" s="73"/>
      <c r="E121" s="73"/>
      <c r="F121" s="73"/>
      <c r="G121" s="73"/>
      <c r="H121" s="73"/>
      <c r="J121" s="73"/>
      <c r="K121" s="73"/>
    </row>
    <row r="122" spans="2:11" ht="15.75" customHeight="1" x14ac:dyDescent="0.35">
      <c r="B122" s="73"/>
      <c r="C122" s="73"/>
      <c r="D122" s="73"/>
      <c r="E122" s="73"/>
      <c r="F122" s="73"/>
      <c r="G122" s="73"/>
      <c r="H122" s="73"/>
      <c r="J122" s="73"/>
      <c r="K122" s="73"/>
    </row>
    <row r="123" spans="2:11" ht="15.75" customHeight="1" x14ac:dyDescent="0.35">
      <c r="B123" s="73"/>
      <c r="C123" s="73"/>
      <c r="D123" s="73"/>
      <c r="E123" s="73"/>
      <c r="F123" s="73"/>
      <c r="G123" s="73"/>
      <c r="H123" s="73"/>
      <c r="J123" s="73"/>
      <c r="K123" s="73"/>
    </row>
    <row r="124" spans="2:11" ht="15.75" customHeight="1" x14ac:dyDescent="0.35">
      <c r="B124" s="73"/>
      <c r="C124" s="73"/>
      <c r="D124" s="73"/>
      <c r="E124" s="73"/>
      <c r="F124" s="73"/>
      <c r="G124" s="73"/>
      <c r="H124" s="73"/>
      <c r="J124" s="73"/>
      <c r="K124" s="73"/>
    </row>
    <row r="125" spans="2:11" ht="15.75" customHeight="1" x14ac:dyDescent="0.35"/>
    <row r="126" spans="2:11" ht="15.75" customHeight="1" x14ac:dyDescent="0.35"/>
    <row r="127" spans="2:11" ht="15.75" customHeight="1" x14ac:dyDescent="0.35"/>
    <row r="128" spans="2:11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2:B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7FBA-3FF3-45B0-B8B4-07B1586295B8}">
  <sheetPr codeName="Лист4"/>
  <dimension ref="B2:K47"/>
  <sheetViews>
    <sheetView showGridLines="0" tabSelected="1" zoomScale="87" zoomScaleNormal="100" workbookViewId="0">
      <selection activeCell="G30" sqref="G30"/>
    </sheetView>
  </sheetViews>
  <sheetFormatPr defaultRowHeight="14" x14ac:dyDescent="0.3"/>
  <cols>
    <col min="1" max="1" width="8.7265625" style="94"/>
    <col min="2" max="2" width="27.1796875" style="94" customWidth="1"/>
    <col min="3" max="10" width="11.6328125" style="94" customWidth="1"/>
    <col min="11" max="11" width="13.1796875" style="94" customWidth="1"/>
    <col min="12" max="16384" width="8.7265625" style="94"/>
  </cols>
  <sheetData>
    <row r="2" spans="2:10" ht="20" x14ac:dyDescent="0.3">
      <c r="B2" s="95" t="s">
        <v>202</v>
      </c>
    </row>
    <row r="3" spans="2:10" x14ac:dyDescent="0.3">
      <c r="B3" s="134" t="s">
        <v>203</v>
      </c>
      <c r="C3" s="134" t="s">
        <v>183</v>
      </c>
      <c r="D3" s="134" t="s">
        <v>204</v>
      </c>
      <c r="E3" s="134" t="s">
        <v>205</v>
      </c>
      <c r="F3" s="134" t="s">
        <v>206</v>
      </c>
      <c r="G3" s="134" t="s">
        <v>207</v>
      </c>
    </row>
    <row r="4" spans="2:10" x14ac:dyDescent="0.3">
      <c r="B4" s="135" t="s">
        <v>208</v>
      </c>
      <c r="C4" s="136">
        <f>C27</f>
        <v>1563641.3162057302</v>
      </c>
      <c r="D4" s="136">
        <f>C4-E4</f>
        <v>1374490.3162057302</v>
      </c>
      <c r="E4" s="136">
        <f>$E$17</f>
        <v>189151</v>
      </c>
      <c r="F4" s="136">
        <f>D4/$K$33</f>
        <v>5060.71544994746</v>
      </c>
      <c r="G4" s="137">
        <v>0.3</v>
      </c>
    </row>
    <row r="5" spans="2:10" x14ac:dyDescent="0.3">
      <c r="B5" s="138" t="s">
        <v>211</v>
      </c>
      <c r="C5" s="139">
        <f>MEDIAN(J41:K41)</f>
        <v>1329285.9578853</v>
      </c>
      <c r="D5" s="136">
        <f>C5-E5</f>
        <v>1140134.9578853</v>
      </c>
      <c r="E5" s="136">
        <f>$E$17</f>
        <v>189151</v>
      </c>
      <c r="F5" s="136">
        <f>D5/$K$33</f>
        <v>4197.8459421402795</v>
      </c>
      <c r="G5" s="140">
        <v>0.5</v>
      </c>
    </row>
    <row r="6" spans="2:10" x14ac:dyDescent="0.3">
      <c r="B6" s="138" t="s">
        <v>209</v>
      </c>
      <c r="C6" s="139">
        <f>D6+E6</f>
        <v>406730</v>
      </c>
      <c r="D6" s="136">
        <f>Расчет!E165-Расчет!E176</f>
        <v>217579</v>
      </c>
      <c r="E6" s="136">
        <f>$E$17</f>
        <v>189151</v>
      </c>
      <c r="F6" s="136">
        <f>D6/$K$33</f>
        <v>801.10088365242996</v>
      </c>
      <c r="G6" s="141">
        <v>0.2</v>
      </c>
    </row>
    <row r="7" spans="2:10" x14ac:dyDescent="0.3">
      <c r="B7" s="142" t="s">
        <v>210</v>
      </c>
      <c r="C7" s="143">
        <f>C6*G6+C4*G4+C5*G5</f>
        <v>1215081.373804369</v>
      </c>
      <c r="D7" s="143">
        <f>C7-E7</f>
        <v>1025930.373804369</v>
      </c>
      <c r="E7" s="143">
        <f>E6</f>
        <v>189151</v>
      </c>
      <c r="F7" s="143">
        <f>D7/$K$33</f>
        <v>3777.3577827848635</v>
      </c>
      <c r="G7" s="144">
        <f>SUM(G4:G6)</f>
        <v>1</v>
      </c>
    </row>
    <row r="9" spans="2:10" ht="20" x14ac:dyDescent="0.3">
      <c r="B9" s="95" t="s">
        <v>174</v>
      </c>
      <c r="C9" s="96"/>
      <c r="D9" s="96"/>
      <c r="E9" s="96"/>
      <c r="F9" s="96"/>
      <c r="G9" s="96"/>
      <c r="H9" s="96"/>
      <c r="I9" s="96"/>
      <c r="J9" s="96"/>
    </row>
    <row r="10" spans="2:10" x14ac:dyDescent="0.3">
      <c r="B10" s="96"/>
      <c r="C10" s="96"/>
      <c r="D10" s="96"/>
      <c r="E10" s="96"/>
      <c r="F10" s="96"/>
      <c r="G10" s="96"/>
      <c r="H10" s="96"/>
      <c r="I10" s="96"/>
      <c r="J10" s="96"/>
    </row>
    <row r="11" spans="2:10" x14ac:dyDescent="0.3">
      <c r="B11" s="98"/>
      <c r="C11" s="99"/>
      <c r="D11" s="100" t="s">
        <v>4</v>
      </c>
      <c r="E11" s="101"/>
    </row>
    <row r="12" spans="2:10" x14ac:dyDescent="0.3">
      <c r="B12" s="104" t="s">
        <v>7</v>
      </c>
      <c r="C12" s="105"/>
      <c r="D12" s="106" t="s">
        <v>8</v>
      </c>
      <c r="E12" s="145">
        <f>'Анализ чувствительности'!G5</f>
        <v>0.03</v>
      </c>
    </row>
    <row r="13" spans="2:10" x14ac:dyDescent="0.3">
      <c r="B13" s="104" t="s">
        <v>175</v>
      </c>
      <c r="C13" s="109"/>
      <c r="D13" s="106" t="s">
        <v>8</v>
      </c>
      <c r="E13" s="145">
        <f>(E14+E16*(E15-E14))*C18+(Допущения!E22*C17)*(1-Допущения!L23)</f>
        <v>0.15668473135231767</v>
      </c>
    </row>
    <row r="14" spans="2:10" x14ac:dyDescent="0.3">
      <c r="B14" s="104" t="s">
        <v>176</v>
      </c>
      <c r="C14" s="109"/>
      <c r="D14" s="106" t="s">
        <v>8</v>
      </c>
      <c r="E14" s="145">
        <v>3.6999999999999998E-2</v>
      </c>
    </row>
    <row r="15" spans="2:10" x14ac:dyDescent="0.3">
      <c r="B15" s="104" t="s">
        <v>177</v>
      </c>
      <c r="C15" s="109"/>
      <c r="D15" s="106" t="s">
        <v>8</v>
      </c>
      <c r="E15" s="145">
        <f>(14.8%+21.8%)/2</f>
        <v>0.183</v>
      </c>
    </row>
    <row r="16" spans="2:10" x14ac:dyDescent="0.3">
      <c r="B16" s="104" t="s">
        <v>178</v>
      </c>
      <c r="C16" s="109"/>
      <c r="D16" s="106" t="s">
        <v>180</v>
      </c>
      <c r="E16" s="146">
        <v>0.9</v>
      </c>
    </row>
    <row r="17" spans="2:11" x14ac:dyDescent="0.3">
      <c r="B17" s="104" t="s">
        <v>127</v>
      </c>
      <c r="C17" s="147">
        <f>E17/SUM($E$17:$E$18)</f>
        <v>0.24205100511740341</v>
      </c>
      <c r="D17" s="106" t="s">
        <v>11</v>
      </c>
      <c r="E17" s="148">
        <f>Расчет!E172-Расчет!E163</f>
        <v>189151</v>
      </c>
    </row>
    <row r="18" spans="2:11" x14ac:dyDescent="0.3">
      <c r="B18" s="104" t="s">
        <v>179</v>
      </c>
      <c r="C18" s="147">
        <f>E18/SUM($E$17:$E$18)</f>
        <v>0.75794899488259659</v>
      </c>
      <c r="D18" s="106" t="s">
        <v>11</v>
      </c>
      <c r="E18" s="148">
        <v>592300</v>
      </c>
    </row>
    <row r="19" spans="2:11" x14ac:dyDescent="0.3">
      <c r="F19" s="149">
        <f>E18+E17</f>
        <v>781451</v>
      </c>
    </row>
    <row r="21" spans="2:11" x14ac:dyDescent="0.3">
      <c r="B21" s="150" t="s">
        <v>119</v>
      </c>
      <c r="C21" s="151">
        <v>2023</v>
      </c>
      <c r="D21" s="152">
        <v>2024</v>
      </c>
      <c r="E21" s="153">
        <v>2025</v>
      </c>
      <c r="F21" s="153">
        <v>2026</v>
      </c>
      <c r="G21" s="153">
        <v>2027</v>
      </c>
      <c r="H21" s="153">
        <v>2028</v>
      </c>
      <c r="I21" s="154"/>
      <c r="J21" s="153">
        <v>2029</v>
      </c>
    </row>
    <row r="22" spans="2:11" x14ac:dyDescent="0.3">
      <c r="B22" s="104" t="s">
        <v>132</v>
      </c>
      <c r="C22" s="155">
        <f>Итоги!C36</f>
        <v>139621.6</v>
      </c>
      <c r="D22" s="155">
        <f>Итоги!D36</f>
        <v>159729.2527341661</v>
      </c>
      <c r="E22" s="155">
        <f>Итоги!E36</f>
        <v>187269.77469649378</v>
      </c>
      <c r="F22" s="155">
        <f>Итоги!F36</f>
        <v>207559.12085798354</v>
      </c>
      <c r="G22" s="155">
        <f>Итоги!G36</f>
        <v>222270.67418717232</v>
      </c>
      <c r="H22" s="155">
        <f>Итоги!H36</f>
        <v>237024.44471088119</v>
      </c>
      <c r="J22" s="148">
        <f>Итоги!J36</f>
        <v>241000.34320777841</v>
      </c>
    </row>
    <row r="23" spans="2:11" x14ac:dyDescent="0.3">
      <c r="B23" s="104" t="s">
        <v>182</v>
      </c>
      <c r="C23" s="155"/>
      <c r="D23" s="155"/>
      <c r="E23" s="155"/>
      <c r="F23" s="155"/>
      <c r="G23" s="155"/>
      <c r="H23" s="155">
        <f>J22*(1-E12)/(E13-E12)</f>
        <v>1845292.0917629453</v>
      </c>
      <c r="J23" s="148"/>
    </row>
    <row r="24" spans="2:11" x14ac:dyDescent="0.3">
      <c r="B24" s="104" t="s">
        <v>201</v>
      </c>
      <c r="C24" s="156">
        <f t="shared" ref="C24:H24" si="0">C21-2023+0.5</f>
        <v>0.5</v>
      </c>
      <c r="D24" s="156">
        <f t="shared" si="0"/>
        <v>1.5</v>
      </c>
      <c r="E24" s="156">
        <f t="shared" si="0"/>
        <v>2.5</v>
      </c>
      <c r="F24" s="156">
        <f t="shared" si="0"/>
        <v>3.5</v>
      </c>
      <c r="G24" s="156">
        <f t="shared" si="0"/>
        <v>4.5</v>
      </c>
      <c r="H24" s="156">
        <f t="shared" si="0"/>
        <v>5.5</v>
      </c>
      <c r="J24" s="157"/>
    </row>
    <row r="25" spans="2:11" x14ac:dyDescent="0.3">
      <c r="B25" s="104" t="s">
        <v>181</v>
      </c>
      <c r="C25" s="155">
        <f>C22/(1+'Анализ чувствительности'!$G$4)^(C24)</f>
        <v>129821.04752456637</v>
      </c>
      <c r="D25" s="155">
        <f>D22/(1+'Анализ чувствительности'!$G$4)^(D24)</f>
        <v>128399.09294068125</v>
      </c>
      <c r="E25" s="155">
        <f>E22/(1+'Анализ чувствительности'!$G$4)^(E24)</f>
        <v>130145.80710376395</v>
      </c>
      <c r="F25" s="155">
        <f>F22/(1+'Анализ чувствительности'!$G$4)^(F24)</f>
        <v>124706.56382164071</v>
      </c>
      <c r="G25" s="155">
        <f>G22/(1+'Анализ чувствительности'!$G$4)^(G24)</f>
        <v>115455.5074132966</v>
      </c>
      <c r="H25" s="155">
        <f>H22/(1+'Анализ чувствительности'!$G$4)^(H24)</f>
        <v>106441.41088835089</v>
      </c>
      <c r="J25" s="148"/>
    </row>
    <row r="26" spans="2:11" x14ac:dyDescent="0.3">
      <c r="B26" s="104"/>
      <c r="C26" s="155"/>
      <c r="D26" s="155"/>
      <c r="E26" s="155"/>
      <c r="F26" s="155"/>
      <c r="G26" s="155"/>
      <c r="H26" s="155">
        <f>H23/(1+'Анализ чувствительности'!$G$4)^(H24)</f>
        <v>828671.88651343028</v>
      </c>
      <c r="J26" s="148"/>
    </row>
    <row r="27" spans="2:11" x14ac:dyDescent="0.3">
      <c r="B27" s="104" t="s">
        <v>183</v>
      </c>
      <c r="C27" s="155">
        <f>SUM(C25:H26)</f>
        <v>1563641.3162057302</v>
      </c>
      <c r="D27" s="155"/>
      <c r="E27" s="155"/>
      <c r="F27" s="155"/>
      <c r="G27" s="155"/>
      <c r="H27" s="155"/>
    </row>
    <row r="30" spans="2:11" ht="20" x14ac:dyDescent="0.3">
      <c r="B30" s="95" t="s">
        <v>184</v>
      </c>
    </row>
    <row r="32" spans="2:11" ht="28" x14ac:dyDescent="0.3">
      <c r="B32" s="98" t="s">
        <v>185</v>
      </c>
      <c r="C32" s="99"/>
      <c r="D32" s="100" t="s">
        <v>4</v>
      </c>
      <c r="E32" s="100" t="s">
        <v>76</v>
      </c>
      <c r="F32" s="100" t="s">
        <v>67</v>
      </c>
      <c r="G32" s="100" t="s">
        <v>183</v>
      </c>
      <c r="H32" s="128" t="s">
        <v>191</v>
      </c>
      <c r="I32" s="128" t="s">
        <v>190</v>
      </c>
      <c r="J32" s="128" t="s">
        <v>196</v>
      </c>
      <c r="K32" s="128" t="s">
        <v>198</v>
      </c>
    </row>
    <row r="33" spans="2:11" x14ac:dyDescent="0.3">
      <c r="B33" s="104" t="s">
        <v>186</v>
      </c>
      <c r="C33" s="105"/>
      <c r="D33" s="106" t="s">
        <v>11</v>
      </c>
      <c r="E33" s="148">
        <f>Расчет!E104</f>
        <v>344829</v>
      </c>
      <c r="F33" s="148">
        <f>Расчет!E22</f>
        <v>3138516.8107147301</v>
      </c>
      <c r="G33" s="158"/>
      <c r="H33" s="148">
        <f>E18</f>
        <v>592300</v>
      </c>
      <c r="I33" s="158">
        <v>27015</v>
      </c>
      <c r="J33" s="158">
        <v>10206</v>
      </c>
      <c r="K33" s="159">
        <v>271.60000000000002</v>
      </c>
    </row>
    <row r="34" spans="2:11" x14ac:dyDescent="0.3">
      <c r="B34" s="104" t="s">
        <v>187</v>
      </c>
      <c r="C34" s="109"/>
      <c r="D34" s="106" t="s">
        <v>11</v>
      </c>
      <c r="E34" s="158">
        <v>166000</v>
      </c>
      <c r="F34" s="158">
        <v>2545000</v>
      </c>
      <c r="G34" s="158">
        <v>876400</v>
      </c>
      <c r="H34" s="158">
        <v>712200</v>
      </c>
      <c r="I34" s="158">
        <v>29165</v>
      </c>
      <c r="J34" s="158">
        <v>10053</v>
      </c>
      <c r="K34" s="159">
        <v>101.9</v>
      </c>
    </row>
    <row r="35" spans="2:11" x14ac:dyDescent="0.3">
      <c r="B35" s="104" t="s">
        <v>188</v>
      </c>
      <c r="C35" s="109"/>
      <c r="D35" s="106" t="s">
        <v>11</v>
      </c>
      <c r="E35" s="158">
        <v>33600</v>
      </c>
      <c r="F35" s="158">
        <v>615900</v>
      </c>
      <c r="G35" s="158">
        <v>173100</v>
      </c>
      <c r="H35" s="158">
        <v>77800</v>
      </c>
      <c r="I35" s="158">
        <v>2819</v>
      </c>
      <c r="J35" s="158">
        <v>2325</v>
      </c>
      <c r="K35" s="158">
        <v>116</v>
      </c>
    </row>
    <row r="36" spans="2:11" x14ac:dyDescent="0.3">
      <c r="B36" s="104" t="s">
        <v>189</v>
      </c>
      <c r="C36" s="109"/>
      <c r="D36" s="106" t="s">
        <v>11</v>
      </c>
      <c r="E36" s="158">
        <v>8900</v>
      </c>
      <c r="F36" s="158">
        <v>207900</v>
      </c>
      <c r="G36" s="158">
        <v>43600</v>
      </c>
      <c r="H36" s="158">
        <v>8030</v>
      </c>
      <c r="I36" s="158">
        <v>297</v>
      </c>
      <c r="J36" s="158">
        <v>664</v>
      </c>
      <c r="K36" s="158">
        <v>269.10000000000002</v>
      </c>
    </row>
    <row r="39" spans="2:11" x14ac:dyDescent="0.3">
      <c r="E39" s="160"/>
    </row>
    <row r="40" spans="2:11" ht="28" x14ac:dyDescent="0.3">
      <c r="B40" s="98" t="s">
        <v>185</v>
      </c>
      <c r="C40" s="99"/>
      <c r="D40" s="100" t="s">
        <v>4</v>
      </c>
      <c r="E40" s="128" t="s">
        <v>197</v>
      </c>
      <c r="F40" s="128" t="s">
        <v>200</v>
      </c>
      <c r="G40" s="128" t="s">
        <v>199</v>
      </c>
      <c r="H40" s="100" t="s">
        <v>192</v>
      </c>
      <c r="I40" s="100" t="s">
        <v>193</v>
      </c>
      <c r="J40" s="100" t="s">
        <v>194</v>
      </c>
      <c r="K40" s="100" t="s">
        <v>195</v>
      </c>
    </row>
    <row r="41" spans="2:11" x14ac:dyDescent="0.3">
      <c r="B41" s="104" t="s">
        <v>186</v>
      </c>
      <c r="C41" s="105"/>
      <c r="D41" s="106" t="s">
        <v>11</v>
      </c>
      <c r="E41" s="148">
        <f>H33/K33</f>
        <v>2180.7805596465387</v>
      </c>
      <c r="F41" s="148">
        <f>F33/J33</f>
        <v>307.51683428519794</v>
      </c>
      <c r="G41" s="148">
        <f>E33/J33</f>
        <v>33.786890064667844</v>
      </c>
      <c r="H41" s="161">
        <f>MEDIAN(H42:H44)</f>
        <v>5.1517857142857144</v>
      </c>
      <c r="I41" s="161">
        <f>MEDIAN(I42:I44)</f>
        <v>0.28105211885046272</v>
      </c>
      <c r="J41" s="148">
        <f>H41*E33</f>
        <v>1776485.1160714286</v>
      </c>
      <c r="K41" s="148">
        <f>I41*F33</f>
        <v>882086.79969917156</v>
      </c>
    </row>
    <row r="42" spans="2:11" x14ac:dyDescent="0.3">
      <c r="B42" s="104" t="s">
        <v>187</v>
      </c>
      <c r="C42" s="109"/>
      <c r="D42" s="106" t="s">
        <v>11</v>
      </c>
      <c r="E42" s="148">
        <f>H34/K34</f>
        <v>6989.2051030421981</v>
      </c>
      <c r="F42" s="148">
        <f>F34/J34</f>
        <v>253.15826121555756</v>
      </c>
      <c r="G42" s="148">
        <f>E34/J34</f>
        <v>16.512483835670945</v>
      </c>
      <c r="H42" s="161">
        <f>G34/E34</f>
        <v>5.2795180722891564</v>
      </c>
      <c r="I42" s="161">
        <f>G34/F34</f>
        <v>0.34436149312377212</v>
      </c>
      <c r="J42" s="148"/>
      <c r="K42" s="148"/>
    </row>
    <row r="43" spans="2:11" x14ac:dyDescent="0.3">
      <c r="B43" s="104" t="s">
        <v>188</v>
      </c>
      <c r="C43" s="109"/>
      <c r="D43" s="106" t="s">
        <v>11</v>
      </c>
      <c r="E43" s="148">
        <f>H35/K35</f>
        <v>670.68965517241384</v>
      </c>
      <c r="F43" s="148">
        <f>F35/J35</f>
        <v>264.90322580645159</v>
      </c>
      <c r="G43" s="148">
        <f>E35/J35</f>
        <v>14.451612903225806</v>
      </c>
      <c r="H43" s="161">
        <f>G35/E35</f>
        <v>5.1517857142857144</v>
      </c>
      <c r="I43" s="161">
        <f>G35/F35</f>
        <v>0.28105211885046272</v>
      </c>
      <c r="J43" s="148"/>
      <c r="K43" s="148"/>
    </row>
    <row r="44" spans="2:11" x14ac:dyDescent="0.3">
      <c r="B44" s="104" t="s">
        <v>189</v>
      </c>
      <c r="C44" s="109"/>
      <c r="D44" s="106" t="s">
        <v>11</v>
      </c>
      <c r="E44" s="148">
        <f>H36/K36</f>
        <v>29.840208101077664</v>
      </c>
      <c r="F44" s="148">
        <f>F36/J36</f>
        <v>313.10240963855421</v>
      </c>
      <c r="G44" s="148">
        <f>E36/J36</f>
        <v>13.403614457831326</v>
      </c>
      <c r="H44" s="161">
        <f>G36/E36</f>
        <v>4.8988764044943824</v>
      </c>
      <c r="I44" s="161">
        <f>G36/F36</f>
        <v>0.20971620971620972</v>
      </c>
      <c r="J44" s="148"/>
      <c r="K44" s="148"/>
    </row>
    <row r="47" spans="2:11" ht="20" x14ac:dyDescent="0.3">
      <c r="B47" s="95"/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A4D-DAD8-42D4-94FC-4DBE3030E9C1}">
  <sheetPr codeName="Лист5"/>
  <dimension ref="A1:M20"/>
  <sheetViews>
    <sheetView showGridLines="0" workbookViewId="0">
      <selection activeCell="I28" sqref="I28"/>
    </sheetView>
  </sheetViews>
  <sheetFormatPr defaultRowHeight="14.5" x14ac:dyDescent="0.35"/>
  <sheetData>
    <row r="1" spans="1:13" ht="18.5" x14ac:dyDescent="0.45">
      <c r="C1" s="78" t="s">
        <v>212</v>
      </c>
    </row>
    <row r="2" spans="1:13" ht="18.5" x14ac:dyDescent="0.45">
      <c r="C2" s="79" t="s">
        <v>213</v>
      </c>
    </row>
    <row r="4" spans="1:13" x14ac:dyDescent="0.35">
      <c r="C4" t="s">
        <v>175</v>
      </c>
      <c r="G4" s="80">
        <f>Оценка!E13</f>
        <v>0.15668473135231767</v>
      </c>
    </row>
    <row r="5" spans="1:13" x14ac:dyDescent="0.35">
      <c r="C5" s="81" t="s">
        <v>214</v>
      </c>
      <c r="D5" s="81"/>
      <c r="E5" s="81"/>
      <c r="F5" s="81"/>
      <c r="G5" s="82">
        <v>0.03</v>
      </c>
    </row>
    <row r="6" spans="1:13" x14ac:dyDescent="0.35">
      <c r="C6" s="83" t="s">
        <v>204</v>
      </c>
      <c r="D6" s="83"/>
      <c r="E6" s="83"/>
      <c r="F6" s="83"/>
      <c r="G6" s="84">
        <f>Оценка!D4/1000</f>
        <v>1374.4903162057301</v>
      </c>
    </row>
    <row r="8" spans="1:13" x14ac:dyDescent="0.35">
      <c r="A8" s="1"/>
      <c r="B8" s="1"/>
      <c r="C8" s="1"/>
      <c r="D8" s="1"/>
      <c r="E8" s="1"/>
      <c r="F8" s="1"/>
      <c r="G8" s="1"/>
      <c r="H8" s="85" t="s">
        <v>175</v>
      </c>
      <c r="I8" s="1"/>
      <c r="J8" s="1"/>
      <c r="K8" s="1"/>
      <c r="L8" s="1"/>
      <c r="M8" s="1"/>
    </row>
    <row r="9" spans="1:13" x14ac:dyDescent="0.35">
      <c r="A9" s="1"/>
      <c r="B9" s="86">
        <f>G6</f>
        <v>1374.4903162057301</v>
      </c>
      <c r="C9" s="87">
        <f>D9-0.2%</f>
        <v>0.14699999999999999</v>
      </c>
      <c r="D9" s="87">
        <f>E9-0.2%</f>
        <v>0.14899999999999999</v>
      </c>
      <c r="E9" s="87">
        <f>F9-0.2%</f>
        <v>0.151</v>
      </c>
      <c r="F9" s="87">
        <f>G9-0.2%</f>
        <v>0.153</v>
      </c>
      <c r="G9" s="87">
        <f>H9-0.2%</f>
        <v>0.155</v>
      </c>
      <c r="H9" s="88">
        <v>0.157</v>
      </c>
      <c r="I9" s="87">
        <f>H9+0.002</f>
        <v>0.159</v>
      </c>
      <c r="J9" s="87">
        <f>I9+0.002</f>
        <v>0.161</v>
      </c>
      <c r="K9" s="87">
        <f>J9+0.002</f>
        <v>0.16300000000000001</v>
      </c>
      <c r="L9" s="87">
        <f>K9+0.002</f>
        <v>0.16500000000000001</v>
      </c>
      <c r="M9" s="87">
        <f>L9+0.002</f>
        <v>0.16700000000000001</v>
      </c>
    </row>
    <row r="10" spans="1:13" x14ac:dyDescent="0.35">
      <c r="A10" s="1"/>
      <c r="B10" s="89">
        <f>B11-0.002</f>
        <v>1.999999999999999E-2</v>
      </c>
      <c r="C10" s="90">
        <f t="dataTable" ref="C10:M20" dt2D="1" dtr="1" r1="G4" r2="G5"/>
        <v>1376.6641400685749</v>
      </c>
      <c r="D10" s="90">
        <v>1365.1035617749062</v>
      </c>
      <c r="E10" s="90">
        <v>1353.6624245337284</v>
      </c>
      <c r="F10" s="90">
        <v>1342.3392476247982</v>
      </c>
      <c r="G10" s="90">
        <v>1331.1325714530924</v>
      </c>
      <c r="H10" s="91">
        <v>1320.0409572095712</v>
      </c>
      <c r="I10" s="90">
        <v>1309.0629865379831</v>
      </c>
      <c r="J10" s="90">
        <v>1298.1972612075908</v>
      </c>
      <c r="K10" s="90">
        <v>1287.4424027917075</v>
      </c>
      <c r="L10" s="90">
        <v>1276.7970523519293</v>
      </c>
      <c r="M10" s="90">
        <v>1266.2598701279474</v>
      </c>
    </row>
    <row r="11" spans="1:13" x14ac:dyDescent="0.35">
      <c r="A11" s="1"/>
      <c r="B11" s="89">
        <f>B12-0.002</f>
        <v>2.1999999999999992E-2</v>
      </c>
      <c r="C11" s="90">
        <v>1387.048995472318</v>
      </c>
      <c r="D11" s="90">
        <v>1375.3893859100178</v>
      </c>
      <c r="E11" s="90">
        <v>1363.8503315461051</v>
      </c>
      <c r="F11" s="90">
        <v>1352.4303372222987</v>
      </c>
      <c r="G11" s="90">
        <v>1341.1279291172193</v>
      </c>
      <c r="H11" s="91">
        <v>1329.9416544036887</v>
      </c>
      <c r="I11" s="90">
        <v>1318.8700809121353</v>
      </c>
      <c r="J11" s="90">
        <v>1307.9117967999805</v>
      </c>
      <c r="K11" s="90">
        <v>1297.0654102268968</v>
      </c>
      <c r="L11" s="90">
        <v>1286.3295490358198</v>
      </c>
      <c r="M11" s="90">
        <v>1275.7028604395985</v>
      </c>
    </row>
    <row r="12" spans="1:13" x14ac:dyDescent="0.35">
      <c r="A12" s="164" t="s">
        <v>214</v>
      </c>
      <c r="B12" s="89">
        <f>B13-0.002</f>
        <v>2.3999999999999994E-2</v>
      </c>
      <c r="C12" s="90">
        <v>1397.7469194649759</v>
      </c>
      <c r="D12" s="90">
        <v>1385.9852931731664</v>
      </c>
      <c r="E12" s="90">
        <v>1374.3453698134058</v>
      </c>
      <c r="F12" s="90">
        <v>1362.8256393541171</v>
      </c>
      <c r="G12" s="90">
        <v>1351.424613318688</v>
      </c>
      <c r="H12" s="91">
        <v>1340.1408244392017</v>
      </c>
      <c r="I12" s="90">
        <v>1328.9728263163408</v>
      </c>
      <c r="J12" s="90">
        <v>1317.9191930853342</v>
      </c>
      <c r="K12" s="90">
        <v>1306.9785190878381</v>
      </c>
      <c r="L12" s="90">
        <v>1296.1494185496281</v>
      </c>
      <c r="M12" s="90">
        <v>1285.4305252639963</v>
      </c>
    </row>
    <row r="13" spans="1:13" x14ac:dyDescent="0.35">
      <c r="A13" s="164"/>
      <c r="B13" s="89">
        <f>B14-0.002</f>
        <v>2.5999999999999995E-2</v>
      </c>
      <c r="C13" s="90">
        <v>1408.772285657865</v>
      </c>
      <c r="D13" s="90">
        <v>1396.9055201071287</v>
      </c>
      <c r="E13" s="90">
        <v>1385.1616403519504</v>
      </c>
      <c r="F13" s="90">
        <v>1373.5391210322148</v>
      </c>
      <c r="G13" s="90">
        <v>1362.0364585675086</v>
      </c>
      <c r="H13" s="91">
        <v>1350.6521708071743</v>
      </c>
      <c r="I13" s="90">
        <v>1339.3847966866049</v>
      </c>
      <c r="J13" s="90">
        <v>1328.2328958896455</v>
      </c>
      <c r="K13" s="90">
        <v>1317.1950485169928</v>
      </c>
      <c r="L13" s="90">
        <v>1306.2698547604698</v>
      </c>
      <c r="M13" s="90">
        <v>1295.4559345830642</v>
      </c>
    </row>
    <row r="14" spans="1:13" x14ac:dyDescent="0.35">
      <c r="A14" s="164"/>
      <c r="B14" s="89">
        <f>B15-0.002</f>
        <v>2.7999999999999997E-2</v>
      </c>
      <c r="C14" s="90">
        <v>1420.1403612328859</v>
      </c>
      <c r="D14" s="90">
        <v>1408.1651883040663</v>
      </c>
      <c r="E14" s="90">
        <v>1396.31412080211</v>
      </c>
      <c r="F14" s="90">
        <v>1384.5856175618962</v>
      </c>
      <c r="G14" s="90">
        <v>1372.9781594297278</v>
      </c>
      <c r="H14" s="91">
        <v>1361.4902489095964</v>
      </c>
      <c r="I14" s="90">
        <v>1350.1204098157525</v>
      </c>
      <c r="J14" s="90">
        <v>1338.8671869314555</v>
      </c>
      <c r="K14" s="90">
        <v>1327.7291456737803</v>
      </c>
      <c r="L14" s="90">
        <v>1316.70487176437</v>
      </c>
      <c r="M14" s="90">
        <v>1305.7929709060109</v>
      </c>
    </row>
    <row r="15" spans="1:13" x14ac:dyDescent="0.35">
      <c r="A15" s="164"/>
      <c r="B15" s="92">
        <v>0.03</v>
      </c>
      <c r="C15" s="91">
        <v>1431.86737747751</v>
      </c>
      <c r="D15" s="91">
        <v>1419.7803742678802</v>
      </c>
      <c r="E15" s="91">
        <v>1407.8187346256007</v>
      </c>
      <c r="F15" s="91">
        <v>1395.9809010815097</v>
      </c>
      <c r="G15" s="91">
        <v>1384.2653384169089</v>
      </c>
      <c r="H15" s="93">
        <v>1372.6705333059174</v>
      </c>
      <c r="I15" s="91">
        <v>1361.1949939642029</v>
      </c>
      <c r="J15" s="91">
        <v>1349.8372498039603</v>
      </c>
      <c r="K15" s="91">
        <v>1338.5958510950156</v>
      </c>
      <c r="L15" s="91">
        <v>1327.4693686319445</v>
      </c>
      <c r="M15" s="91">
        <v>1316.4563934070736</v>
      </c>
    </row>
    <row r="16" spans="1:13" x14ac:dyDescent="0.35">
      <c r="A16" s="164"/>
      <c r="B16" s="89">
        <f>B15+0.002</f>
        <v>3.2000000000000001E-2</v>
      </c>
      <c r="C16" s="90">
        <v>1443.9706071082455</v>
      </c>
      <c r="D16" s="90">
        <v>1431.768186000314</v>
      </c>
      <c r="E16" s="90">
        <v>1419.692426962514</v>
      </c>
      <c r="F16" s="90">
        <v>1407.7417556985952</v>
      </c>
      <c r="G16" s="90">
        <v>1395.9146204094784</v>
      </c>
      <c r="H16" s="91">
        <v>1384.2094914315735</v>
      </c>
      <c r="I16" s="90">
        <v>1372.6248608815486</v>
      </c>
      <c r="J16" s="90">
        <v>1361.1592423074158</v>
      </c>
      <c r="K16" s="90">
        <v>1349.8111703458158</v>
      </c>
      <c r="L16" s="90">
        <v>1338.5792003853815</v>
      </c>
      <c r="M16" s="90">
        <v>1327.4619082360555</v>
      </c>
    </row>
    <row r="17" spans="1:13" x14ac:dyDescent="0.35">
      <c r="A17" s="164"/>
      <c r="B17" s="89">
        <f>B16+0.002</f>
        <v>3.4000000000000002E-2</v>
      </c>
      <c r="C17" s="90">
        <v>1456.468449157245</v>
      </c>
      <c r="D17" s="90">
        <v>1444.1468470780671</v>
      </c>
      <c r="E17" s="90">
        <v>1431.9532479080494</v>
      </c>
      <c r="F17" s="90">
        <v>1419.8860599752247</v>
      </c>
      <c r="G17" s="90">
        <v>1407.9437143595476</v>
      </c>
      <c r="H17" s="91">
        <v>1396.124664527046</v>
      </c>
      <c r="I17" s="90">
        <v>1384.4273859704974</v>
      </c>
      <c r="J17" s="90">
        <v>1372.8503758564977</v>
      </c>
      <c r="K17" s="90">
        <v>1361.3921526787999</v>
      </c>
      <c r="L17" s="90">
        <v>1350.0512559177996</v>
      </c>
      <c r="M17" s="90">
        <v>1338.8262457060512</v>
      </c>
    </row>
    <row r="18" spans="1:13" x14ac:dyDescent="0.35">
      <c r="A18" s="1"/>
      <c r="B18" s="89">
        <f>B17+0.002</f>
        <v>3.6000000000000004E-2</v>
      </c>
      <c r="C18" s="90">
        <v>1469.3805222994058</v>
      </c>
      <c r="D18" s="90">
        <v>1456.9357890899214</v>
      </c>
      <c r="E18" s="90">
        <v>1444.6204440696756</v>
      </c>
      <c r="F18" s="90">
        <v>1432.4328776150792</v>
      </c>
      <c r="G18" s="90">
        <v>1420.3715031176603</v>
      </c>
      <c r="H18" s="91">
        <v>1408.4347566139088</v>
      </c>
      <c r="I18" s="90">
        <v>1396.6210964217266</v>
      </c>
      <c r="J18" s="90">
        <v>1384.9290027833447</v>
      </c>
      <c r="K18" s="90">
        <v>1373.3569775145829</v>
      </c>
      <c r="L18" s="90">
        <v>1361.9035436603365</v>
      </c>
      <c r="M18" s="90">
        <v>1350.567245156155</v>
      </c>
    </row>
    <row r="19" spans="1:13" x14ac:dyDescent="0.35">
      <c r="A19" s="1"/>
      <c r="B19" s="89">
        <f>B18+0.002</f>
        <v>3.8000000000000006E-2</v>
      </c>
      <c r="C19" s="90">
        <v>1482.7277676156127</v>
      </c>
      <c r="D19" s="90">
        <v>1470.1557534200181</v>
      </c>
      <c r="E19" s="90">
        <v>1457.7145593814671</v>
      </c>
      <c r="F19" s="90">
        <v>1445.40255731973</v>
      </c>
      <c r="G19" s="90">
        <v>1433.2181423417601</v>
      </c>
      <c r="H19" s="91">
        <v>1421.1597324670861</v>
      </c>
      <c r="I19" s="90">
        <v>1409.225768259894</v>
      </c>
      <c r="J19" s="90">
        <v>1397.4147124676522</v>
      </c>
      <c r="K19" s="90">
        <v>1385.7250496661566</v>
      </c>
      <c r="L19" s="90">
        <v>1374.1552859108792</v>
      </c>
      <c r="M19" s="90">
        <v>1362.7039483944827</v>
      </c>
    </row>
    <row r="20" spans="1:13" x14ac:dyDescent="0.35">
      <c r="A20" s="1"/>
      <c r="B20" s="89">
        <f>B19+0.002</f>
        <v>4.0000000000000008E-2</v>
      </c>
      <c r="C20" s="90">
        <v>1496.5325619242722</v>
      </c>
      <c r="D20" s="90">
        <v>1483.8289034986487</v>
      </c>
      <c r="E20" s="90">
        <v>1471.2575462863122</v>
      </c>
      <c r="F20" s="90">
        <v>1458.8168429142638</v>
      </c>
      <c r="G20" s="90">
        <v>1446.5051695780774</v>
      </c>
      <c r="H20" s="91">
        <v>1434.3209256626935</v>
      </c>
      <c r="I20" s="90">
        <v>1422.2625333699777</v>
      </c>
      <c r="J20" s="90">
        <v>1410.3284373529068</v>
      </c>
      <c r="K20" s="90">
        <v>1398.5171043562591</v>
      </c>
      <c r="L20" s="90">
        <v>1386.8270228636782</v>
      </c>
      <c r="M20" s="90">
        <v>1375.2567027509872</v>
      </c>
    </row>
  </sheetData>
  <mergeCells count="1"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Допущения</vt:lpstr>
      <vt:lpstr>Расчет</vt:lpstr>
      <vt:lpstr>Итоги</vt:lpstr>
      <vt:lpstr>Оценка</vt:lpstr>
      <vt:lpstr>Анализ чувствительности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Lasukova</dc:creator>
  <cp:lastModifiedBy>Anna Lasukova</cp:lastModifiedBy>
  <dcterms:created xsi:type="dcterms:W3CDTF">2015-06-05T18:17:20Z</dcterms:created>
  <dcterms:modified xsi:type="dcterms:W3CDTF">2026-02-20T09:50:54Z</dcterms:modified>
</cp:coreProperties>
</file>